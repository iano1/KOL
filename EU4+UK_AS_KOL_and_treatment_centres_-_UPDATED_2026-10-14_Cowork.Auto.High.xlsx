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xr:revisionPtr revIDLastSave="7000" documentId="11_C2330022BB50950E97E819E7E0BCBE8359B1E8BC" xr6:coauthVersionLast="47" xr6:coauthVersionMax="47" xr10:uidLastSave="{CA54A68E-CF43-4482-B3AB-112EF351B8FA}"/>
  <bookViews>
    <workbookView xWindow="0" yWindow="0" windowWidth="0" windowHeight="0" xr2:uid="{00000000-000D-0000-FFFF-FFFF00000000}"/>
  </bookViews>
  <sheets>
    <sheet name="README" sheetId="1" r:id="rId1"/>
    <sheet name="Country_Centres" sheetId="2" r:id="rId2"/>
    <sheet name="KOL_Roster" sheetId="3" r:id="rId3"/>
    <sheet name="Tier_Counts" sheetId="4" r:id="rId4"/>
    <sheet name="Infrastructure" sheetId="5" r:id="rId5"/>
    <sheet name="Sources_Caveats" sheetId="6" r:id="rId6"/>
    <sheet name="Verification_Flag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6" i="7" l="1"/>
  <c r="C87" i="1"/>
  <c r="C86" i="1"/>
  <c r="C85" i="1"/>
  <c r="C84" i="1"/>
  <c r="C83" i="1"/>
  <c r="C82" i="1"/>
  <c r="C81" i="1"/>
  <c r="C80" i="1"/>
  <c r="C79" i="1"/>
  <c r="C78" i="1"/>
  <c r="C77" i="1"/>
  <c r="C76" i="1"/>
  <c r="C75" i="1"/>
  <c r="C74" i="1"/>
  <c r="C73" i="1"/>
  <c r="C72" i="1"/>
  <c r="C71" i="1"/>
  <c r="C70" i="1"/>
  <c r="C69" i="1"/>
  <c r="C68" i="1"/>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199" i="6"/>
  <c r="G198" i="6"/>
  <c r="G197" i="6"/>
  <c r="G196" i="6"/>
  <c r="G195" i="6"/>
  <c r="G194" i="6"/>
  <c r="G193" i="6"/>
  <c r="G192"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G38" i="4"/>
  <c r="F38" i="4"/>
  <c r="E38" i="4"/>
  <c r="D38" i="4"/>
  <c r="C38" i="4"/>
  <c r="B38" i="4"/>
  <c r="G37" i="4"/>
  <c r="F37" i="4"/>
  <c r="E37" i="4"/>
  <c r="D37" i="4"/>
  <c r="C37" i="4"/>
  <c r="B37" i="4"/>
  <c r="G36" i="4"/>
  <c r="F36" i="4"/>
  <c r="E36" i="4"/>
  <c r="D36" i="4"/>
  <c r="C36" i="4"/>
  <c r="B36" i="4"/>
  <c r="G35" i="4"/>
  <c r="F35" i="4"/>
  <c r="E35" i="4"/>
  <c r="D35" i="4"/>
  <c r="C35" i="4"/>
  <c r="B35" i="4"/>
  <c r="G34" i="4"/>
  <c r="F34" i="4" a="1"/>
  <c r="F34" i="4"/>
  <c r="E34" i="4" a="1"/>
  <c r="E34" i="4"/>
  <c r="D34" i="4" a="1"/>
  <c r="D34" i="4"/>
  <c r="C34" i="4" a="1"/>
  <c r="C34" i="4"/>
  <c r="B34" i="4" a="1"/>
  <c r="B34" i="4"/>
  <c r="G30" i="4"/>
  <c r="F30" i="4"/>
  <c r="E30" i="4"/>
  <c r="D30" i="4"/>
  <c r="C30" i="4"/>
  <c r="B30" i="4"/>
  <c r="G29" i="4"/>
  <c r="F29" i="4"/>
  <c r="E29" i="4"/>
  <c r="D29" i="4"/>
  <c r="C29" i="4"/>
  <c r="B29" i="4"/>
  <c r="G28" i="4"/>
  <c r="F28" i="4"/>
  <c r="E28" i="4"/>
  <c r="D28" i="4"/>
  <c r="C28" i="4"/>
  <c r="B28" i="4"/>
  <c r="G27" i="4"/>
  <c r="F27" i="4"/>
  <c r="E27" i="4"/>
  <c r="D27" i="4"/>
  <c r="C27" i="4"/>
  <c r="B27" i="4"/>
  <c r="G26" i="4"/>
  <c r="F26" i="4" a="1"/>
  <c r="F26" i="4"/>
  <c r="E26" i="4" a="1"/>
  <c r="E26" i="4"/>
  <c r="D26" i="4" a="1"/>
  <c r="D26" i="4"/>
  <c r="C26" i="4" a="1"/>
  <c r="C26" i="4"/>
  <c r="B26" i="4" a="1"/>
  <c r="B26" i="4"/>
  <c r="G25" i="4"/>
  <c r="F25" i="4"/>
  <c r="E25" i="4"/>
  <c r="D25" i="4"/>
  <c r="C25" i="4"/>
  <c r="B25" i="4"/>
  <c r="G24" i="4"/>
  <c r="F24" i="4"/>
  <c r="E24" i="4"/>
  <c r="D24" i="4"/>
  <c r="C24" i="4"/>
  <c r="B24" i="4"/>
  <c r="G23" i="4"/>
  <c r="F23" i="4"/>
  <c r="E23" i="4"/>
  <c r="D23" i="4"/>
  <c r="C23" i="4"/>
  <c r="B23" i="4"/>
  <c r="F19" i="4"/>
  <c r="E19" i="4"/>
  <c r="D19" i="4"/>
  <c r="C19" i="4"/>
  <c r="B19" i="4"/>
  <c r="E18" i="4"/>
  <c r="D18" i="4"/>
  <c r="C18" i="4"/>
  <c r="B18" i="4"/>
  <c r="E17" i="4"/>
  <c r="D17" i="4"/>
  <c r="C17" i="4"/>
  <c r="B17" i="4"/>
  <c r="E16" i="4"/>
  <c r="D16" i="4"/>
  <c r="C16" i="4"/>
  <c r="B16" i="4"/>
  <c r="E15" i="4"/>
  <c r="D15" i="4"/>
  <c r="C15" i="4"/>
  <c r="B15" i="4"/>
  <c r="E14" i="4"/>
  <c r="D14" i="4"/>
  <c r="C14" i="4"/>
  <c r="B14" i="4"/>
  <c r="G10" i="4"/>
  <c r="F10" i="4"/>
  <c r="E10" i="4"/>
  <c r="D10" i="4"/>
  <c r="C10" i="4"/>
  <c r="B10" i="4"/>
  <c r="F9" i="4"/>
  <c r="E9" i="4"/>
  <c r="D9" i="4"/>
  <c r="C9" i="4"/>
  <c r="B9" i="4"/>
  <c r="F8" i="4"/>
  <c r="E8" i="4"/>
  <c r="D8" i="4"/>
  <c r="C8" i="4"/>
  <c r="B8" i="4"/>
  <c r="F7" i="4"/>
  <c r="E7" i="4"/>
  <c r="D7" i="4"/>
  <c r="C7" i="4"/>
  <c r="B7" i="4"/>
  <c r="F6" i="4"/>
  <c r="E6" i="4"/>
  <c r="D6" i="4"/>
  <c r="C6" i="4"/>
  <c r="B6" i="4"/>
  <c r="F5" i="4"/>
  <c r="E5" i="4"/>
  <c r="D5" i="4"/>
  <c r="C5" i="4"/>
  <c r="B5" i="4"/>
  <c r="R99" i="3"/>
  <c r="J99" i="3"/>
  <c r="R98" i="3"/>
  <c r="J98" i="3"/>
  <c r="R97" i="3"/>
  <c r="J97" i="3"/>
  <c r="R96" i="3"/>
  <c r="J96" i="3"/>
  <c r="R95" i="3"/>
  <c r="J95" i="3"/>
  <c r="R94" i="3"/>
  <c r="J94" i="3"/>
  <c r="R93" i="3"/>
  <c r="J93" i="3"/>
  <c r="R92" i="3"/>
  <c r="J92" i="3"/>
  <c r="R91" i="3"/>
  <c r="J91" i="3"/>
  <c r="R90" i="3"/>
  <c r="J90" i="3"/>
  <c r="R89" i="3"/>
  <c r="J89" i="3"/>
  <c r="R88" i="3"/>
  <c r="J88" i="3"/>
  <c r="R87" i="3"/>
  <c r="J87" i="3"/>
  <c r="R86" i="3"/>
  <c r="J86" i="3"/>
  <c r="R85" i="3"/>
  <c r="J85" i="3"/>
  <c r="R84" i="3"/>
  <c r="J84" i="3"/>
  <c r="R83" i="3"/>
  <c r="J83" i="3"/>
  <c r="R82" i="3"/>
  <c r="J82" i="3"/>
  <c r="R81" i="3"/>
  <c r="J81" i="3"/>
  <c r="R80" i="3"/>
  <c r="J80" i="3"/>
  <c r="R79" i="3"/>
  <c r="J79" i="3"/>
  <c r="R78" i="3"/>
  <c r="J78" i="3"/>
  <c r="R77" i="3"/>
  <c r="J77" i="3"/>
  <c r="R76" i="3"/>
  <c r="J76" i="3"/>
  <c r="R75" i="3"/>
  <c r="J75" i="3"/>
  <c r="R74" i="3"/>
  <c r="J74" i="3"/>
  <c r="R73" i="3"/>
  <c r="J73" i="3"/>
  <c r="R72" i="3"/>
  <c r="J72" i="3"/>
  <c r="R71" i="3"/>
  <c r="J71" i="3"/>
  <c r="R70" i="3"/>
  <c r="J70" i="3"/>
  <c r="R69" i="3"/>
  <c r="J69" i="3"/>
  <c r="R68" i="3"/>
  <c r="J68" i="3"/>
  <c r="R67" i="3"/>
  <c r="J67" i="3"/>
  <c r="R66" i="3"/>
  <c r="J66" i="3"/>
  <c r="R65" i="3"/>
  <c r="J65" i="3"/>
  <c r="R64" i="3"/>
  <c r="J64" i="3"/>
  <c r="R63" i="3"/>
  <c r="J63" i="3"/>
  <c r="R62" i="3"/>
  <c r="J62" i="3"/>
  <c r="R61" i="3"/>
  <c r="J61" i="3"/>
  <c r="R60" i="3"/>
  <c r="J60" i="3"/>
  <c r="R59" i="3"/>
  <c r="J59" i="3"/>
  <c r="R58" i="3"/>
  <c r="J58" i="3"/>
  <c r="R57" i="3"/>
  <c r="J57" i="3"/>
  <c r="R56" i="3"/>
  <c r="J56" i="3"/>
  <c r="R55" i="3"/>
  <c r="J55" i="3"/>
  <c r="R54" i="3"/>
  <c r="J54" i="3"/>
  <c r="R53" i="3"/>
  <c r="J53" i="3"/>
  <c r="R52" i="3"/>
  <c r="J52" i="3"/>
  <c r="R51" i="3"/>
  <c r="J51" i="3"/>
  <c r="R50" i="3"/>
  <c r="J50" i="3"/>
  <c r="R49" i="3"/>
  <c r="J49" i="3"/>
  <c r="R48" i="3"/>
  <c r="J48" i="3"/>
  <c r="R47" i="3"/>
  <c r="J47" i="3"/>
  <c r="R46" i="3"/>
  <c r="J46" i="3"/>
  <c r="R45" i="3"/>
  <c r="J45" i="3"/>
  <c r="R44" i="3"/>
  <c r="J44" i="3"/>
  <c r="R43" i="3"/>
  <c r="J43" i="3"/>
  <c r="R42" i="3"/>
  <c r="J42" i="3"/>
  <c r="R41" i="3"/>
  <c r="J41" i="3"/>
  <c r="R40" i="3"/>
  <c r="J40" i="3"/>
  <c r="R39" i="3"/>
  <c r="J39" i="3"/>
  <c r="R38" i="3"/>
  <c r="J38" i="3"/>
  <c r="R37" i="3"/>
  <c r="J37" i="3"/>
  <c r="R36" i="3"/>
  <c r="J36" i="3"/>
  <c r="R35" i="3"/>
  <c r="J35" i="3"/>
  <c r="R34" i="3"/>
  <c r="J34" i="3"/>
  <c r="R33" i="3"/>
  <c r="J33" i="3"/>
  <c r="R32" i="3"/>
  <c r="J32" i="3"/>
  <c r="R31" i="3"/>
  <c r="J31" i="3"/>
  <c r="R30" i="3"/>
  <c r="J30" i="3"/>
  <c r="R29" i="3"/>
  <c r="J29" i="3"/>
  <c r="R28" i="3"/>
  <c r="J28" i="3"/>
  <c r="R27" i="3"/>
  <c r="J27" i="3"/>
  <c r="R26" i="3"/>
  <c r="J26" i="3"/>
  <c r="R25" i="3"/>
  <c r="J25" i="3"/>
  <c r="R24" i="3"/>
  <c r="J24" i="3"/>
  <c r="R23" i="3"/>
  <c r="J23" i="3"/>
  <c r="R22" i="3"/>
  <c r="J22" i="3"/>
  <c r="R21" i="3"/>
  <c r="J21" i="3"/>
  <c r="R20" i="3"/>
  <c r="J20" i="3"/>
  <c r="R19" i="3"/>
  <c r="J19" i="3"/>
  <c r="R18" i="3"/>
  <c r="J18" i="3"/>
  <c r="R17" i="3"/>
  <c r="J17" i="3"/>
  <c r="R16" i="3"/>
  <c r="J16" i="3"/>
  <c r="R15" i="3"/>
  <c r="J15" i="3"/>
  <c r="R14" i="3"/>
  <c r="J14" i="3"/>
  <c r="R13" i="3"/>
  <c r="J13" i="3"/>
  <c r="R12" i="3"/>
  <c r="J12" i="3"/>
  <c r="R11" i="3"/>
  <c r="J11" i="3"/>
  <c r="R10" i="3"/>
  <c r="J10" i="3"/>
  <c r="R9" i="3"/>
  <c r="J9" i="3"/>
  <c r="R8" i="3"/>
  <c r="J8" i="3"/>
  <c r="R7" i="3"/>
  <c r="J7" i="3"/>
  <c r="R6" i="3"/>
  <c r="J6" i="3"/>
  <c r="R5" i="3"/>
  <c r="J5" i="3"/>
  <c r="R4" i="3"/>
  <c r="J4" i="3"/>
  <c r="R3" i="3"/>
  <c r="J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<sst xmlns="http://schemas.openxmlformats.org/spreadsheetml/2006/main" count="3697" uniqueCount="2333">
  <si>
    <t>EU4+UK Angelman Syndrome Treatment Centres and KOLs — Mapping &amp; Tiering</t>
  </si>
  <si>
    <t>SCOPE</t>
  </si>
  <si>
    <t>Title</t>
  </si>
  <si>
    <t>Prepared for</t>
  </si>
  <si>
    <t>Medical Affairs workstream — obudanersen (ION582, Ionis) (Angelman syndrome)</t>
  </si>
  <si>
    <t>Geographies</t>
  </si>
  <si>
    <t>Germany, France, Italy, Spain, United Kingdom (EU4+UK)</t>
  </si>
  <si>
    <t>Asset phase</t>
  </si>
  <si>
    <t>Pre-approval (Phase 3 REVEAL NCT06914609 fully enrolled; topline 2H 2027)</t>
  </si>
  <si>
    <t>Date compiled</t>
  </si>
  <si>
    <t>Compiled by</t>
  </si>
  <si>
    <t>Copilot Cowork (automated, high-effort run) for Ian Pepper</t>
  </si>
  <si>
    <t>Method</t>
  </si>
  <si>
    <t>Cross-referenced from public sources (ClinicalTrials.gov / EU CTIS, ERN ITHACA / EpiCARE HCP lists, national guidelines, national AS patient organisations, Orphanet, sponsor communications, PubMed / publisher records). Template: PROMPT_KOL_Centre_Map_v2.</t>
  </si>
  <si>
    <t>Content</t>
  </si>
  <si>
    <t>95 centres (Tiers 1–3) · 97 named KOLs · 150 sources · 92 verification items</t>
  </si>
  <si>
    <t>TAB GUIDE</t>
  </si>
  <si>
    <t>README</t>
  </si>
  <si>
    <t>Scope, five signal pillars, Centre and KOL tier definitions + scoring criteria, critical caveats, asset overlay &amp; facts, gap-fill methodology, how to use.</t>
  </si>
  <si>
    <t>Country_Centres</t>
  </si>
  <si>
    <t>Master flat table — one row per Tier 1–3 centre; P1–P5 signal flags; notes with source URLs. Sorted by Country then Tier; autofilter on.</t>
  </si>
  <si>
    <t>KOL_Roster</t>
  </si>
  <si>
    <t>Named clinicians/scientists with role, P1/P3 roles, P2 publications, international presentations, engagement priority, the seven KOL scores, formula Total and formula KOL Tier for TOV, plus sources.</t>
  </si>
  <si>
    <t>Tier_Counts</t>
  </si>
  <si>
    <t>Centre and KOL country × tier matrices with interpretive notes, plus cross-cut counts — all live COUNTIFS/SUMPRODUCT formulas on the data tabs.</t>
  </si>
  <si>
    <t>Infrastructure</t>
  </si>
  <si>
    <t>AS diagnostic, severity-assessment, treatment, chronic-management and future-state (obudanersen IT-ASO) requirements mapped to Tier 1–2 coverage.</t>
  </si>
  <si>
    <t>Sources_Caveats</t>
  </si>
  <si>
    <t>Authoritative sources with clickable URLs; caveats (all-geography + per-country); asset &amp; competitor trial footprint (competitor programmes; EU4+UK trial sites).</t>
  </si>
  <si>
    <t>Verification_Flags</t>
  </si>
  <si>
    <t>Adversarial QA pass — affiliation currency, independence/compliance, provenance, wording/counts, drug premise; flagged source cells highlighted red on their home sheets (not auto-corrected).</t>
  </si>
  <si>
    <t>THE FIVE SIGNAL PILLARS (calibrated for Angelman syndrome)</t>
  </si>
  <si>
    <t>P1 — Consensus 2022 / national guideline author</t>
  </si>
  <si>
    <t>Guideline authorship — Duis et al. 2022 international consensus standards of care (Mol Genet Genomic Med 10:e1843; doi:10.1002/mgg3.1843; PMID 35150089) plus national guidance: France PNDS Syndrome d'Angelman (CRMR Déficiences intellectuelles de causes rares, HAS, Dec-2021); diagnostic anchor Williams 2006 criteria (PMID 16470747). No national AS guideline identified for DE/IT/ES/UK — country-level P1 relies on consensus authorship.</t>
  </si>
  <si>
    <t>P2 — AS publications / ION582 or competitor trial (5y)</t>
  </si>
  <si>
    <t>Publication &amp; trial authorship — AS peer-reviewed output 2021–2026 and investigator roles on obudanersen HALOS (NCT05127226)/REVEAL (NCT06914609)/CHAMPION (NCT07782827) and competitor programmes: apazunersen Ph1/2 (NCT04259281) &amp; Aspire (NCT06617429; failed Sep-2026), rugonersen TANGELO (NCT04428281; Nat Med 2025), gaboxadol NEPTUNE (NCT04106557; PMID 37639777).</t>
  </si>
  <si>
    <t>P3 — AS registry / trial-network coord/site</t>
  </si>
  <si>
    <t>Registry / trial-network participation — Global Angelman Syndrome Registry (angelmanregistry.info), LADDER via the ASF International Clinic Network (Erasmus MC partner, Jan-2026), national registries (e.g. Italian RISA/FROM), and REVEAL/HALOS/Aspire/TANGELO site networks per ClinicalTrials.gov.</t>
  </si>
  <si>
    <t>P4 — ERN ITHACA / EpiCARE HCP</t>
  </si>
  <si>
    <t>Reference-network membership — ERN ITHACA HCP (primary) and ERN EpiCARE HCP (secondary), per EC ERN Service Directory; UK = N/A (post-Brexit) with NHS highly specialised/regional genetics services as analogue; national analogues FR CRMR/CCMR (DéfiScience/AnDDI-Rares), ES CSUR, DE ZSE, IT regional rare-disease networks.</t>
  </si>
  <si>
    <t>P5 — Angelman clinic / programme</t>
  </si>
  <si>
    <t>Disease programme — named multidisciplinary Angelman clinic (Yes) or broader ID/neurogenetics/rare-epilepsy programme (Partial), sourced from national patient organisations (Angelman e.V., AFSA, OR.S.A., ASA, AngelmanUK/FAST UK) and hospital pages.</t>
  </si>
  <si>
    <t>CENTRE TIER DEFINITIONS (template §3)</t>
  </si>
  <si>
    <t>Tier 1 — Anchor / reference</t>
  </si>
  <si>
    <t>Definition: hosts a P1 guideline author OR a P3 registry coordinator, AND is a P4 reference-network HCP (or its national equivalent), AND carries the P2 publication signal (disease- or asset-/competitor-trial authorship in the last ~5 years).
Role in plan: first-wave KOL engagement; advisory-board core; RWE and observational lead candidates; the asset's likely evidence partners.</t>
  </si>
  <si>
    <t>Tier 2 — National referral</t>
  </si>
  <si>
    <t>Definition: a P4 HCP with the relevant P5 programme, OR a P3 participating site; university hospital with full critical/specialist care and disease-relevant diagnostics; recurring P2 authorship on the relevant literature.
Role in plan: second-wave outreach; regional referral hubs.</t>
  </si>
  <si>
    <t>Tier 3 — Tertiary capable</t>
  </si>
  <si>
    <t>Definition: national/regional reference centre or large university hospital with the core treatment infrastructure but typically not research-active in the disease.
Role in plan: launch-phase distribution; HCP education; not advisory core.</t>
  </si>
  <si>
    <t>Tier 4 — Community / acute presentation</t>
  </si>
  <si>
    <t>Definition: district/general hospitals where patients first present and receive supportive care, then refer on.
Role in plan: enumerate only if explicitly asked (too dispersed) — NOT enumerated in this build (not requested). Matters for case-finding, patient pathway and pharmacovigilance — address via national-society / patient-organisation channels, not individual outreach.</t>
  </si>
  <si>
    <t>Calibration note</t>
  </si>
  <si>
    <t>Angelman syndrome is a chronic, managed disease: care concentrates at reference / genetics / neuropaediatric centres, so the acute-presentation dispersion caveat is omitted.</t>
  </si>
  <si>
    <t>KOL TIER DEFINITIONS &amp; SCORING CRITERIA (template §3)</t>
  </si>
  <si>
    <t>Purpose</t>
  </si>
  <si>
    <t>Evaluate and classify each identified physician (KOL) by level of expertise, influence and contribution to the therapeutic area.</t>
  </si>
  <si>
    <t>Step 1 — Guideline authorship</t>
  </si>
  <si>
    <t>1 point — contributor to local protocols or internal standards; co-author of minor/regional guidelines
3 points — lead/co-author of national guidelines; contributor to multicentre consensus statements
5 points — lead/co-author of international or globally influential guidelines</t>
  </si>
  <si>
    <t>Step 1 — Publications</t>
  </si>
  <si>
    <t>1 point — ≥3 publications (any authorship) in relevant peer-reviewed journals
3 points — ≥5 publications in reputable journals (last 7 years)
5 points — ≥5 publications as first/last author (last 7 years)</t>
  </si>
  <si>
    <t>Step 1 — Clinical trials</t>
  </si>
  <si>
    <t>1 point — participant or site investigator in local/national trials
3 points — national PI or investigator in multi-country/regional trials (last 7 years)
5 points — lead/site PI in large international or pivotal trials influencing practice/regulation</t>
  </si>
  <si>
    <t>Step 1 — Academic appointment</t>
  </si>
  <si>
    <t>1 point — specialist physician; working/research group member; completed specialist training
3 points — senior physician; associate professor; research group member; retired department head
5 points — department head; research group leader; emeritus professor</t>
  </si>
  <si>
    <t>Step 1 — Society roles</t>
  </si>
  <si>
    <t>1 point — member of local/regional society
3 points — committee/board member in national society
5 points — executive leadership in major national/international societies</t>
  </si>
  <si>
    <t>Step 1 — Speaker engagement</t>
  </si>
  <si>
    <t>1 point — occasional local/regional speaker
3 points — regular invited speaker at national conferences
5 points — keynote/plenary speaker at major international congresses</t>
  </si>
  <si>
    <t>Step 1 — Awards</t>
  </si>
  <si>
    <t>1–2 points depending on calibre of award (0 if none evidenced)</t>
  </si>
  <si>
    <t>Step 2 — Scoring rules</t>
  </si>
  <si>
    <t>Evaluate each physician independently across all categories; assign 1, 3 or 5 points per category on best fit; use the highest level fully supported by evidence; do not infer or assume achievements; if information is limited assign the lowest reasonable score (default 1); prioritise recent (last 5–7 years) and verifiable contributions.</t>
  </si>
  <si>
    <t>Step 3 — Total score</t>
  </si>
  <si>
    <t>Sum all category scores → total score per KOL (KOL_Roster "Total score" = SUM formula of the seven score cells).</t>
  </si>
  <si>
    <t>Step 4 — Tier 1 (Top KOLs)</t>
  </si>
  <si>
    <t>24–30 points</t>
  </si>
  <si>
    <t>Step 4 — Tier 2 (Established KOLs)</t>
  </si>
  <si>
    <t>12–23 points</t>
  </si>
  <si>
    <t>Step 4 — Tier 3 (Emerging/Local KOLs)</t>
  </si>
  <si>
    <t>0–11 points  (KOL_Roster "KOL Tier for TOV" is a formula from Total score)</t>
  </si>
  <si>
    <t>Quality &amp; consistency</t>
  </si>
  <si>
    <t>Apply scoring consistently across all KOLs; avoid bias toward geography, institution size or reputation without evidence; ensure alignment between evidence, score and final tier.</t>
  </si>
  <si>
    <t>Engagement priority</t>
  </si>
  <si>
    <t>Ties tier to intent: "TIER 1 — must-engage", "TIER 1 — must-engage (ION582-specific)" for the asset's own evidence partners, "TIER 2 — engage", "TIER 2 — high value", "TIER 3 — monitor", plus qualifiers (— verify current lead, — national anchor, — competitor-trial PI, etc.). Engagement priority may sit above the score tier where an ION582 site role justifies it.</t>
  </si>
  <si>
    <t>CRITICAL CAVEATS</t>
  </si>
  <si>
    <t>Caveat 1</t>
  </si>
  <si>
    <t>Class risk: Ultragenyx's same-mechanism UBE3A-ATS ASO apazunersen failed Phase 3 Aspire (2-Sep-2026); obudanersen efficacy evidence remains open-label, company-reported HALOS data until REVEAL topline (2H-2027).</t>
  </si>
  <si>
    <t>Caveat 2</t>
  </si>
  <si>
    <t>Site-level PIs are not published on ClinicalTrials.gov for REVEAL, HALOS, Aspire or GTX-102 Ph1/2; investigator attribution relies on press releases, community letters and publication authorship — verify via EU CTIS/sponsor before outreach.</t>
  </si>
  <si>
    <t>Caveat 3</t>
  </si>
  <si>
    <t>Infrastructure gate: obudanersen requires lifelong quarterly intrathecal LP under sedation/GA in a non-verbal, behaviourally complex population; adult (≥18 y) LP/sedation capacity is the scarcest resource and only some REVEAL sites certified for adult Cohort 2.</t>
  </si>
  <si>
    <t>Caveat 4</t>
  </si>
  <si>
    <t>Genotype gating: REVEAL covers deletion + UBE3A mutation only; UPD/ID patients are addressed only by CHAMPION (open-label, US-only to date) — centre readiness needs genotype documentation/re-testing capacity.</t>
  </si>
  <si>
    <t>Caveat 5</t>
  </si>
  <si>
    <t>Geography: France has no REVEAL site (HALOS Necker only); UK is outside ERNs (P4 = N/A); Italian investigator names come from a hospital press release not mirrored on the registry.</t>
  </si>
  <si>
    <t>Caveat 6</t>
  </si>
  <si>
    <t>Chronic disease: Angelman syndrome is a chronic, managed disease — care concentrates at reference centres, so no acute-presentation dispersion caveat applies.</t>
  </si>
  <si>
    <t>Caveat 7</t>
  </si>
  <si>
    <t>Tier 4 not enumerated — not requested.</t>
  </si>
  <si>
    <t>Caveat 8</t>
  </si>
  <si>
    <t>UK post-Brexit: P4 (ERN ITHACA / EpiCARE HCP) = N/A (post-Brexit) for all UK centres; UK tiering uses national leadership, registry and trial signals.</t>
  </si>
  <si>
    <t>Caveat 9</t>
  </si>
  <si>
    <t>P1 gap: no clinician from DE/FR/IT/ES/UK co-authored the 2022 international consensus (Duis et al.). P1 therefore rests on national guidance (FR PNDS 2021; UK 2009 clinical management guidelines; DE diagnostic guideline — EMQN/ACGS 2019 / AWMF S1 — where cited), and Tier 1 in several countries rests on national-equivalent criteria — flagged in Verification_Flags.</t>
  </si>
  <si>
    <t>Caveat 10</t>
  </si>
  <si>
    <t>Evidence limits: live PubMed access was unavailable during this run, so publication scores are conservative (default-low) and KOL Tier 1 = 0 across all countries reflects evidence limits, not influence — re-run PubMed author searches before finalising tiers.</t>
  </si>
  <si>
    <t>ASSET OVERLAY — obudanersen (ION582, Ionis)</t>
  </si>
  <si>
    <t>Asset overlay statement</t>
  </si>
  <si>
    <t>Asset overlay: obudanersen is an intrathecal ASO dosed quarterly (80 mg, no loading regimen) — infrastructure-heavier than oral standard of care but delivered through the same IT-ASO pathway Ionis established with nusinersen (SPINRAZA) and tofersen. Nusinersen-experienced paediatric neurology/SMA centres therefore form a ready-made IT-ASO footprint; the addressable EU4+UK centre base ≈ SMA treatment centres intersected with ERN ITHACA/EpiCARE AS expertise centres, with ex-GTX-102/Aspire and TANGELO sites (ES, DE, UK, FR, IT) as IT-experienced, now-uncommitted trial partners. Key gap: adult LP/sedation capacity and transition services.</t>
  </si>
  <si>
    <t>Competitor &amp; trial-site tables</t>
  </si>
  <si>
    <t>See Sources_Caveats → "ASSET &amp; COMPETITOR TRIAL FOOTPRINT" (8 competitor programmes; 33 EU4+UK trial-site rows for REVEAL, HALOS, Aspire, GTX-102 Ph1/2, TANGELO).</t>
  </si>
  <si>
    <t>Asset fact 1</t>
  </si>
  <si>
    <t>Mechanism: obudanersen (ION582) is an investigational 2'-MOE antisense oligonucleotide designed to inhibit expression of the UBE3A antisense transcript (UBE3A-ATS), un-silencing the paternal UBE3A allele and increasing UBE3A protein in neurons.</t>
  </si>
  <si>
    <t>Asset fact 2</t>
  </si>
  <si>
    <t>Route: intrathecal (IT) bolus via lumbar puncture; REVEAL/CHAMPION eligibility requires the participant to be able to undergo sedation and/or general anaesthesia without intubation; CHAMPION excludes spinal/brain disease interfering with LP (Chiari, syringomyelia, tethered cord, etc.).</t>
  </si>
  <si>
    <t>Asset fact 3</t>
  </si>
  <si>
    <t>REVEAL dosing: originally 3 arms (40 mg, 80 mg, placebo; 2:1 active:placebo, ~200 pts); amended Dec-2025 to 2 arms, 80 mg obudanersen vs control randomised 1:1; 40 mg participants transitioned to 80 mg. Phase 3 design PR (Nov-2024) states quarterly dosing without a loading regimen.</t>
  </si>
  <si>
    <t>Asset fact 4</t>
  </si>
  <si>
    <t>Phase 3 design PR (6-Nov-2024): positive End-of-Phase-2 alignment with FDA; primary endpoint = Bayley-4 expressive communication; primary analysis after ~1 year; then open-label LTE.</t>
  </si>
  <si>
    <t>Asset fact 5</t>
  </si>
  <si>
    <t>REVEAL (NCT06914609; EU CT 2024-519711-33-00; ION582-CS2): Phase 3 randomised double-blind controlled; ~60-week controlled period, ~25-month LTE, ~8-month follow-up; Cohort 1 = 2–&lt;18 y (population for primary/secondary endpoints), Cohort 2 = 18–≤50 y; UBE3A deletion or mutation only. Study start 2025-06-10; primary completion est. 2027-08; status 'Active, not recruiting', enrolment (actual) 156 (CT.gov last update 2026-09-29).</t>
  </si>
  <si>
    <t>Asset fact 6</t>
  </si>
  <si>
    <t>Cohort 1 (pivotal) enrolment completed 6-Jul-2026 with 136 participants aged 2–&lt;18 y; adult Cohort 2 expected to complete enrolment Q3-2026; topline REVEAL data expected 2H-2027.</t>
  </si>
  <si>
    <t>Asset fact 7</t>
  </si>
  <si>
    <t>EU control arm: Ionis and EU regulators aligned on a 'skin-prick sham' (needle into skin, no CSF, no injection) in the EU vs placebo elsewhere; FDA and EMA aligned to analyse both control approaches as a single dataset.</t>
  </si>
  <si>
    <t>Asset fact 8</t>
  </si>
  <si>
    <t>First EU REVEAL sites activated Apr-2026: Klinikum der LMU München (DE) and Corporació Sanitària Parc Taulí, Hospital de Sabadell (ES); further sites planned in DE, IT, PL, ES; UK already enrolling.</t>
  </si>
  <si>
    <t>Asset fact 9</t>
  </si>
  <si>
    <t>Italy: Ionis letter (May-2026) lists actively recruiting Italian REVEAL sites: Fondazione IRCCS Istituto Neurologico Carlo Besta (Milan), AOU Pisana (Pisa), Ospedale Pediatrico Bambino Gesù (Rome).</t>
  </si>
  <si>
    <t>Asset fact 10</t>
  </si>
  <si>
    <t>HALOS (NCT05127226) Phase 1/2a open-label MAD + LTE; 51 participants aged 2–50 y; favourable safety at all dose levels; 97% of medium/high-dose participants improved on SAS-CGI-C; Bayley-4 gains in communication, cognition and motor exceeding natural history; improvements on Vineland-3 and ORCA (company-reported, 22-Jul-2024; presented at ASF Family Conference 2024).</t>
  </si>
  <si>
    <t>Asset fact 11</t>
  </si>
  <si>
    <t>HALOS topline (16-May-2024): ~65% achieved improvement in Bayley-4 cognition at 6 months; improvements correlated with reduction in EEG slow-wave delta activity; AEs consistent with AS/IT administration; Biogen declined its licence option and Ionis advances ION582 independently.</t>
  </si>
  <si>
    <t>Asset fact 12</t>
  </si>
  <si>
    <t>HALOS registry status: Active, not recruiting; 11 locations in 6 countries incl. Necker (Paris), AOU Pisana (Pisa), STRONG Group University of Oxford.</t>
  </si>
  <si>
    <t>Asset fact 13</t>
  </si>
  <si>
    <t>No peer-reviewed full HALOS publication identified (Oct-2026); data disseminated via congress/community presentations (Bird L, ASF 2024; Junge C, FAST Global Science Summit Nov-2025) listed on Ionis publications page.</t>
  </si>
  <si>
    <t>Asset fact 14</t>
  </si>
  <si>
    <t>CHAMPION (NCT07782827): Phase 3 open-label single-arm study of obudanersen in AS due to paternal UPD or imprinting defect; ~30 participants (2–50 y, two age cohorts); primary = expressive communication; status Recruiting (registry sync 12-Oct-2026), one US site listed (UNC Chapel Hill/Carrboro); no EU sites listed yet.</t>
  </si>
  <si>
    <t>Asset fact 15</t>
  </si>
  <si>
    <t>CHAMPION was announced Nov-2025 (FAST Global Science Summit); Ionis July-2026 letter anticipated opening before end-2026.</t>
  </si>
  <si>
    <t>Asset fact 16</t>
  </si>
  <si>
    <t>EMA orphan designation EU/3/22/2636 (2'-MOE ASO targeting UBE3A-ATS) granted 21-Jun-2022 to Ionis Development (Ireland) Ltd.</t>
  </si>
  <si>
    <t>Asset fact 17</t>
  </si>
  <si>
    <t>FDA Orphan Drug and Rare Pediatric Disease designations (2022) plus FDA Fast Track; EMA orphan designation. No EMA PRIME designation for obudanersen found (PRIME is held by competitor GTX-102).</t>
  </si>
  <si>
    <t>Asset fact 18</t>
  </si>
  <si>
    <t>Named investigator quoted by Ionis: Lynne Bird, MD, Professor of Clinical Pediatrics, UC San Diego (HALOS study investigator / PI) — quoted in the 22-Jul-2024 HALOS PR and co-presented HALOS data with an Ionis employee (disclosure slide). No EU4+UK investigator quoted in Ionis press releases identified.</t>
  </si>
  <si>
    <t>Asset fact 19</t>
  </si>
  <si>
    <t>Patient-advocacy engagement: Ionis community letters are distributed via the Angelman Syndrome Foundation (angelman.org) and FAST; Ionis presents at ASF Family Conference and FAST Global Science Summit and references community events in Australia, Italy and elsewhere; ORSA (IT) hosted a national family meeting on REVEAL (Pisa, 23-May-2026). A formal contractual 'partnership' is not publicly documented.</t>
  </si>
  <si>
    <t>Asset fact 20</t>
  </si>
  <si>
    <t>Ionis neurology IT-ASO heritage: Ionis discovered SPINRAZA (nusinersen, SMA) and QALSODY (tofersen, SOD1-ALS) — both intrathecal ASOs — relevant to the IT-administration footprint argument.</t>
  </si>
  <si>
    <t>KOL GAP-FILL METHODOLOGY (template §5)</t>
  </si>
  <si>
    <t>Rule</t>
  </si>
  <si>
    <t>No fabrication. Where P1 guideline authorship or P3 registry coordination does not yield a named KOL for a Tier 2/3 centre, gap-fill in this order:</t>
  </si>
  <si>
    <t>(a) P2 publication signal</t>
  </si>
  <si>
    <t>Senior/corresponding author on the centre's AS papers or asset/competitor-trial papers; trial site PI where public.</t>
  </si>
  <si>
    <t>(b) Reference-network coordinator</t>
  </si>
  <si>
    <t>ERN ITHACA / EpiCARE HCP coordinator or Orphanet expert-centre lead.</t>
  </si>
  <si>
    <t>(c) National network coordinator</t>
  </si>
  <si>
    <t>National rare-disease / specialty-network coordinator (e.g. FR CRMR/CCMR, DE ZSE, ES CSUR, IT regional networks).</t>
  </si>
  <si>
    <t>(d) Registry / database authorship</t>
  </si>
  <si>
    <t>Authorship on a relevant national/consortium database or registry paper.</t>
  </si>
  <si>
    <t>Fallback</t>
  </si>
  <si>
    <t>Hospital directories / local sources; if still untraceable the cell reads "Not publicly identified — verify locally".</t>
  </si>
  <si>
    <t>HOW TO USE</t>
  </si>
  <si>
    <t>Field deployment</t>
  </si>
  <si>
    <t>Country_Centres → sort by Tier (ascending) then Country; Tier 1 = first-wave advisory/evidence-partner engagement, Tier 2 = second wave, Tier 3 = launch-phase education.</t>
  </si>
  <si>
    <t>Trial-site shortlist</t>
  </si>
  <si>
    <t>Country_Centres → filter P3 contains "Site" AND P2 begins "Yes" (then review P2 for "ION582" vs competitor-trial signal and Infrastructure for IT-LP/sedation capacity).</t>
  </si>
  <si>
    <t>Verification reminder</t>
  </si>
  <si>
    <t>Re-verify affiliation and current trial activity before any outreach; resolve every red-highlighted cell via Verification_Flags (flags are not auto-corrected).</t>
  </si>
  <si>
    <t>Compliance</t>
  </si>
  <si>
    <t>Check industry-payment / transfer-of-value disclosures (FSA/EFPIA, Transparence Santé, Farmaindustria, Disclosure UK) for KOLs flagged as competitor-trial PIs before contracting.</t>
  </si>
  <si>
    <t>Counts</t>
  </si>
  <si>
    <t>Tier_Counts recalculates automatically from the data tabs — edit the data, not the counts.</t>
  </si>
  <si>
    <t>Country_Centres — EU4+UK Angelman syndrome treatment centres (Tiers 1–3), obudanersen (ION582) mapping</t>
  </si>
  <si>
    <t>Country</t>
  </si>
  <si>
    <t>Tier</t>
  </si>
  <si>
    <t>City</t>
  </si>
  <si>
    <t>Centre / Hospital</t>
  </si>
  <si>
    <t>Unit / Department</t>
  </si>
  <si>
    <t>KOL / Lead clinician(s)</t>
  </si>
  <si>
    <t>Role / Affiliation signal</t>
  </si>
  <si>
    <t>Notes</t>
  </si>
  <si>
    <t>France</t>
  </si>
  <si>
    <t>Paris</t>
  </si>
  <si>
    <t>AP-HP Sorbonne Université — Groupe Hospitalier Pitié-Salpêtrière</t>
  </si>
  <si>
    <t>Département de Génétique (UF Génétique clinique) — CRMR coordonnateur Déficiences Intellectuelles de causes rares (Filière DéfiScience); Neurologie (adult AS); Pédopsychiatrie</t>
  </si>
  <si>
    <t>Dr Delphine Héron; Dr Perrine Charles; Pr Angèle Consoli</t>
  </si>
  <si>
    <t>PNDS Angelman coordinator (Dr Héron) and national CRMR DI coordinator; ERN ITHACA Paris consortium (DéfiScience axis); 3 AFSA Conseil Médical et Scientifique members on site</t>
  </si>
  <si>
    <t>Yes — national guideline (PNDS Syndrome d'Angelman, Nov 2021, CRMR DI de causes rares) — coordinating centre/author (Héron)</t>
  </si>
  <si>
    <t>Yes — disease (qualified): PNDS + argumentaire 2021 (systematic review of 249 studies) authored by this CRMR; individual AS peer-reviewed papers 2021–26 not verified in this pass</t>
  </si>
  <si>
    <t>No — no French site on REVEAL (NCT06914609; 41 sites, none in FR) or Aspire (NCT06617429; EU sites DE/PL/ES); national registry (BNDMR) participation not verified</t>
  </si>
  <si>
    <t>Yes — ITHACA (AP-HP Paris consortium) + national CRMR coordinator (DéfiScience)</t>
  </si>
  <si>
    <t>Yes — national AS expertise hub (PNDS-issuing CRMR; adult AS follow-up via neurology; AFSA CMS)</t>
  </si>
  <si>
    <t>Natural FR advisory-board anchor and ION582 evidence-partner candidate. Tier 1 is provisional: P2 rests on the PNDS/argumentaire, not verified peer-reviewed AS papers. PNDS contact: UF de Génétique clinique, 47-83 bd de l'Hôpital, Paris 13. CRMR DI also spans Hôpital Armand-Trousseau.
Sources: https://www.has-sante.fr/upload/docs/application/pdf/2021-11/pnds_angelman_vf_.doc.pdf; https://www.has-sante.fr/upload/docs/application/pdf/2021-11/argumentaire_pnds_angelman_vf.pdf; https://www.has-sante.fr/jcms/p_3300847/fr/syndrome-d-angelman; https://ern-ithaca.eu/about-us/expert-centers/ern-ithaca-paris-center-robert-debre-university-hospital/; https://www.angelman-afsa.org/afsa/son-equipe/conseil-medical-et-scientifique/afsa/son-equipe/conseil-medical-et-scientifique/le-conseil-medical-et-scientifique</t>
  </si>
  <si>
    <t>AP-HP Hôpital Necker-Enfants Malades</t>
  </si>
  <si>
    <t>Neuropédiatrie — CRMR DI de causes rares et polyhandicap; CRéER (Centre de référence épilepsies rares) site constitutif; Génétique clinique</t>
  </si>
  <si>
    <t>Dr Nadia Bahi-Buisson; Dr Marie Hully; Pr Rima Nabbout; Dr Marlène Rio</t>
  </si>
  <si>
    <t>French coordinating centre for obudanersen Phase 1/2 HALOS (ION582-CS1). Dr Bahi-Buisson is the coordinating investigator and also coordinates the GTX-102 Phase 2 basket study (GTX-102-CL210). The centre also has EpiCARE (HCP coordinator Nabbout), ITHACA Paris and former AFSA CMS president (Hully) signals.</t>
  </si>
  <si>
    <t>No (individual PNDS authorship not verified; AFSA CMS, chaired by Hully, finalised the PNDS 2021)</t>
  </si>
  <si>
    <t>Yes — ION582 trial (HALOS NCT05127226) + Yes — competitor trial (GTX-102 Ph1/2 NCT04259281 site; GTX-102 Ph2 basket CL210 national coordinator; GTX-102 LTE CL302 recruiting site)</t>
  </si>
  <si>
    <t>Site — ION582 HALOS (French national coordinating centre per AP-HP trial registry; opened Jun-2023). Also Site — competitor (GTX-102 Ph1/2, Ph2 basket, LTE). Not a REVEAL site.</t>
  </si>
  <si>
    <t>Yes — ITHACA+EpiCARE</t>
  </si>
  <si>
    <t>Yes — AS explicitly in CRéER rare-epilepsy scope; CRMR DI/polyhandicap neuropaediatrics</t>
  </si>
  <si>
    <t>Re-tiered 2→1. The ITHACA+EpiCARE (P4) and HALOS plus GTX-102 trial authorship/PI roles (P2) criteria are met. The P1/P3-coordinator arm is met only by reading 'national coordinating centre of the asset's Ph1/2 trial' as a P3 coordinator role; no registry coordinator or PNDS author is verified here (see flag). This is the only French centre with intrathecal UBE3A-ASO dosing experience (ION582 and GTX-102), making it the primary ION582 evidence partner, REVEAL/CHAMPION site candidate and HALOS-LTE continuity site. HALOS is active, not recruiting; the AP-HP entry is closed to inclusion.
Sources: https://www.aphp.fr/registre-des-essais-cliniques/etude-visant-evaluer-la-securite-la-tolerance-la-pharmacocinetique-et; https://eichor.com/study/NCT05127226; https://www.fastfrance.org/dossier-angelman/ionis-syndrome-dangelman/; https://www.aphp.fr/registre-des-essais-cliniques/etude-en-ouvert-de-phase-2-de-type-panier-visant-evaluer-linnocuite; https://hopital-broca.aphp.fr/registre-des-essais-cliniques/etude-dextension-long-terme-portant-sur-la-securite-demploi-et-65; https://clinicaltrials.gov/study/NCT04259281; https://epi-care.eu/hospitals/necker-enfants-malades-aphp/; https://maladiesrares-necker.aphp.fr/rare-epilepsies/; https://ern-ithaca.eu/about-us/expert-centers/ern-ithaca-paris-center-robert-debre-university-hospital/</t>
  </si>
  <si>
    <t>Marseille</t>
  </si>
  <si>
    <t>AP-HM Hôpital de la Timone Enfants</t>
  </si>
  <si>
    <t>Neurologie pédiatrique — CRéER coordinating centre (épilepsies rares) + CRMR DI/polyhandicap site</t>
  </si>
  <si>
    <t>Dr Béatrice Desnous; Pr Mathieu Milh</t>
  </si>
  <si>
    <t>Pr Milh is the national coordinating investigator of the GTX-102 long-term extension (GTX-102-CL302). The centre was a GTX-102 Ph1/2 site and is the CRéER coordinating centre; Dr Desnous is current AFSA CMS president.</t>
  </si>
  <si>
    <t>No (PNDS authorship not verified)</t>
  </si>
  <si>
    <t>Yes — competitor trial (GTX-102 Ph1/2 NCT04259281 site; GTX-102 LTE CL302 national coordinator)</t>
  </si>
  <si>
    <t>Coordinator (national) — competitor GTX-102 LTE CL302. Also Site — competitor (GTX-102 Ph1/2). No ION582 site.</t>
  </si>
  <si>
    <t>National CRMR (CRéER coordinating centre; CRMR DI site). ERN EpiCARE/ITHACA membership not verified.</t>
  </si>
  <si>
    <t>Yes — AS-engaged neuropaediatrics (AFSA CMS presidency) within rare-epilepsy/DI reference programme</t>
  </si>
  <si>
    <t>Re-tiered 2→1 on the competitor-trial national coordinator role, the national CRMR coordinator role (P4 national analogue per brief) and competitor-trial P2. Displaceable, intrathecal-ASO-experienced site: high value for REVEAL/CHAMPION expansion now that Aspire has failed (2-Sep-2026). The LTE status after Aspire is uncertain, so verify. Confirm ERN membership.
Sources: https://www.angelman-afsa.org/afsa/son-equipe/conseil-medical-et-scientifique/afsa/son-equipe/conseil-medical-et-scientifique/le-conseil-medical-et-scientifique; https://stxbp1eu.org/france/; https://kcnq2francedeveloppement.fr/pole-recherche/; https://maladiesrares-necker.aphp.fr/rare-epilepsies/; https://hopital-broca.aphp.fr/registre-des-essais-cliniques/etude-dextension-long-terme-portant-sur-la-securite-demploi-et-65; https://clinicaltrials.gov/study/NCT04259281</t>
  </si>
  <si>
    <t>AP-HP Hôpital Robert-Debré</t>
  </si>
  <si>
    <t>Département de Génétique — CRMR coordonnateur CLAD Île-de-France (AnDDI-Rares); ERN ITHACA EU coordinating centre</t>
  </si>
  <si>
    <t>Pr Alain Verloes; Dr David Germanaud</t>
  </si>
  <si>
    <t>ERN ITHACA EU coordinator (Verloes, since 2018); CLAD-IDF coordinator; ITHACA Paris consortium (Germanaud, DéfiScience axis)</t>
  </si>
  <si>
    <t>No (not verified as PNDS contributor)</t>
  </si>
  <si>
    <t>No AS-specific 2021–26 publication verified</t>
  </si>
  <si>
    <t>No — no French site on REVEAL (NCT06914609; 41 sites, none in FR) or Aspire (NCT06617429; EU sites DE/PL/ES)</t>
  </si>
  <si>
    <t>Yes — ITHACA (EU coordinating centre)</t>
  </si>
  <si>
    <t>Partial — developmental anomalies / neurodevelopmental genetics programme</t>
  </si>
  <si>
    <t>European-network gateway (ITHACA guidance/endorsement, CPMS). Not AS-research-active on current evidence; engage for network-level RWE and ERN guidance.
Sources: https://ern-ithaca.eu/about-us/expert-centers/ern-ithaca-paris-center-robert-debre-university-hospital/; https://ern-ithaca.eu/about-us/who-we-are/; https://robertdebre.aphp.fr/centre-de-reference-des-anomalies-du-developpement-syndromes-malformatif-dile-de-france</t>
  </si>
  <si>
    <t>AP-HP Sorbonne Université — Hôpital Armand-Trousseau</t>
  </si>
  <si>
    <t>Neuropédiatrie &amp; Génétique — CRMR DI de causes rares (site), ITHACA Paris consortium</t>
  </si>
  <si>
    <t>Dr Stéphanie Valence; Dr Nathalie Dorison</t>
  </si>
  <si>
    <t>ITHACA Paris consortium (Valence, child neurology); historic AFSA CMS member (Dorison); AFSA CMS psychologist on site</t>
  </si>
  <si>
    <t>No (not verified)</t>
  </si>
  <si>
    <t>No AS-specific 2021–26 paper verified</t>
  </si>
  <si>
    <t>Yes — ITHACA (AP-HP Paris consortium) + CRMR DI site</t>
  </si>
  <si>
    <t>Partial — DI/neurodevelopmental programme; AS experience via AFSA CMS</t>
  </si>
  <si>
    <t>Part of the Pitié–Trousseau CRMR DI pairing named in the PNDS contact block.
Sources: https://ern-ithaca.eu/about-us/expert-centers/ern-ithaca-paris-center-robert-debre-university-hospital/; https://www.has-sante.fr/upload/docs/application/pdf/2021-11/pnds_angelman_vf_.doc.pdf; https://www.livret-angelman-afsa.org/les-contributeurs; https://www.angelman-afsa.org/afsa/son-equipe/conseil-medical-et-scientifique/afsa/son-equipe/conseil-medical-et-scientifique/le-conseil-medical-et-scientifique</t>
  </si>
  <si>
    <t>Lyon (Bron)</t>
  </si>
  <si>
    <t>Hospices Civils de Lyon — Hôpital Femme-Mère-Enfant</t>
  </si>
  <si>
    <t>Service de génétique — CLAD Sud-Est coordinator; CRDI (DéfiScience); Child Neurology</t>
  </si>
  <si>
    <t>Dr Massimiliano Rossi</t>
  </si>
  <si>
    <t>ERN ITHACA Lyon centre lead; CRDI coordinates DéfiScience per ITHACA page; AURAGEN genome platform</t>
  </si>
  <si>
    <t>No</t>
  </si>
  <si>
    <t>Yes — ITHACA</t>
  </si>
  <si>
    <t>Partial — ID/neurodevelopment genetics programme</t>
  </si>
  <si>
    <t>Regional hub for Grenoble, Saint-Étienne, Clermont-Ferrand, Marseille, Nice and Toulon genetics.
Sources: https://ern-ithaca.eu/about-us/expert-centers/ern-ithaca-lyon-center/</t>
  </si>
  <si>
    <t>Dijon</t>
  </si>
  <si>
    <t>CHU Dijon Bourgogne — Hôpital d'Enfants</t>
  </si>
  <si>
    <t>Centre de Génétique — CRMR Anomalies du développement; FHU TRANSLAD</t>
  </si>
  <si>
    <t>Pr Laurence Faivre</t>
  </si>
  <si>
    <t>ERN ITHACA Dijon centre lead; FHU-TRANSLAD coordination (genomic medicine in developmental disorders)</t>
  </si>
  <si>
    <t>No AS-specific 2021–26 paper verified (NDD episignature co-authorship 2024, PMID 37872275)</t>
  </si>
  <si>
    <t>Partial — developmental disorders/ID genetics programme</t>
  </si>
  <si>
    <t>Strong translational/genomic-medicine infrastructure; potential RWE partner.
Sources: https://ern-ithaca.eu/about-us/expert-centers/ern-ithaca-dijon-center/; https://pubmed.ncbi.nlm.nih.gov/37872275/</t>
  </si>
  <si>
    <t>Brest</t>
  </si>
  <si>
    <t>CHU de Brest</t>
  </si>
  <si>
    <t>Neuropédiatrie</t>
  </si>
  <si>
    <t>Dr Sylviane Peudenier</t>
  </si>
  <si>
    <t>AFSA CMS president for 7 years (predecessor of Hully); SFNP DI commission</t>
  </si>
  <si>
    <t>Not verified</t>
  </si>
  <si>
    <t>Partial — AS-experienced neuropaediatrics</t>
  </si>
  <si>
    <t>Affiliation/activity currency to verify.
Sources: https://www.livret-angelman-afsa.org/les-contributeurs; https://www.angelman-afsa.org/afsa/son-equipe/conseil-medical-et-scientifique/nouvelle-presidence-du-cms</t>
  </si>
  <si>
    <t>Toulon</t>
  </si>
  <si>
    <t>Centre Hospitalier Intercommunal Toulon–La Seyne</t>
  </si>
  <si>
    <t>Génétique médicale (CLAD Sud-Est network site)</t>
  </si>
  <si>
    <t>Dr Florence Riccardi</t>
  </si>
  <si>
    <t>Current AFSA CMS member (geneticist)</t>
  </si>
  <si>
    <t>No (CLAD Sud-Est network site via Lyon)</t>
  </si>
  <si>
    <t>Partial</t>
  </si>
  <si>
    <t>Non-university hospital; included because of named AS-engaged geneticist.
Sources: https://www.angelman-afsa.org/afsa/son-equipe/conseil-medical-et-scientifique/afsa/son-equipe/conseil-medical-et-scientifique/le-conseil-medical-et-scientifique; https://ern-ithaca.eu/about-us/expert-centers/ern-ithaca-lyon-center/</t>
  </si>
  <si>
    <t>GHU Paris Psychiatrie &amp; Neurosciences (Sainte-Anne)</t>
  </si>
  <si>
    <t>Psychiatrie</t>
  </si>
  <si>
    <t>Dr Boris Chaumette</t>
  </si>
  <si>
    <t>Current AFSA CMS member (psychiatrist — behavioural/psychiatric AS phenotype)</t>
  </si>
  <si>
    <t>Partial — psychiatry of genetic NDD</t>
  </si>
  <si>
    <t>Behaviour/psychiatry voice for advisory boards.
Sources: https://www.angelman-afsa.org/afsa/son-equipe/conseil-medical-et-scientifique/afsa/son-equipe/conseil-medical-et-scientifique/le-conseil-medical-et-scientifique</t>
  </si>
  <si>
    <t>Aix-en-Provence</t>
  </si>
  <si>
    <t>Centre Hospitalier du Pays d'Aix</t>
  </si>
  <si>
    <t>Dr Marie-Odile Livet</t>
  </si>
  <si>
    <t>Historic AFSA CMS member; co-author of foundational French AS genotype-phenotype series (Moncla et al. 1999)</t>
  </si>
  <si>
    <t>No (historic only)</t>
  </si>
  <si>
    <t>Likely retired/inactive — verify before outreach.
Sources: https://www.livret-angelman-afsa.org/les-contributeurs; https://www.has-sante.fr/upload/docs/application/pdf/2021-11/argumentaire_pnds_angelman_vf.pdf</t>
  </si>
  <si>
    <t>Lille</t>
  </si>
  <si>
    <t>CHU de Lille</t>
  </si>
  <si>
    <t>Clinique de génétique Guy Fontaine</t>
  </si>
  <si>
    <t>Not publicly identified — verify locally</t>
  </si>
  <si>
    <t>University genetics service active in national NDD genomics (episignature consortium)</t>
  </si>
  <si>
    <t>No AS-specific</t>
  </si>
  <si>
    <t xml:space="preserve">
Sources: https://pubmed.ncbi.nlm.nih.gov/37872275/</t>
  </si>
  <si>
    <t>Toulouse</t>
  </si>
  <si>
    <t>CHU de Toulouse</t>
  </si>
  <si>
    <t>Service de Génétique Médicale</t>
  </si>
  <si>
    <t>University genetics service in national NDD genomics network</t>
  </si>
  <si>
    <t>Grenoble</t>
  </si>
  <si>
    <t>CHU Grenoble Alpes</t>
  </si>
  <si>
    <t>Génétique (CLAD Sud-Est site)</t>
  </si>
  <si>
    <t>CLAD Sud-Est inter-regional reference-centre site</t>
  </si>
  <si>
    <t>National CRMR network site</t>
  </si>
  <si>
    <t xml:space="preserve">
Sources: https://ern-ithaca.eu/about-us/expert-centers/ern-ithaca-lyon-center/</t>
  </si>
  <si>
    <t>Saint-Étienne</t>
  </si>
  <si>
    <t>CHU de Saint-Étienne</t>
  </si>
  <si>
    <t>Clermont-Ferrand</t>
  </si>
  <si>
    <t>CHU de Clermont-Ferrand</t>
  </si>
  <si>
    <t>Nice</t>
  </si>
  <si>
    <t>CHU de Nice</t>
  </si>
  <si>
    <t>Germany</t>
  </si>
  <si>
    <t>München</t>
  </si>
  <si>
    <t>LMU Klinikum (Klinikum der Ludwig-Maximilians-Universität München) – Dr. von Haunersches Kinderspital</t>
  </si>
  <si>
    <t>Angelman Zentrum München (AZM) within iSPZ Hauner (Division of Pediatric Neurology, Developmental Medicine &amp; Social Pediatrics) + Section of Paediatric Epileptology, Epilepsy Center Munich</t>
  </si>
  <si>
    <t>Dr. med. Christine Makowski (Leitung AZM); Dr. med. Lena Manssen; Prof. Dr. med. Ingo Borggräfe; Dr. med. Heike Weigand; Dr. med. Leonie Nicolai; Prof. Dr. med. Florian Heinen</t>
  </si>
  <si>
    <t>First EU REVEAL (ION582/obudanersen) site, activated Apr-2026; also Aspire (apazunersen) Phase 3 site and Roche alogabat Aldebaran site; ASF-recognised Angelman clinic and LADDER member; AZM lead sits on the Angelman e.V. medical-scientific advisory board; natural-history cohort of 101 children with AS (published 2026)</t>
  </si>
  <si>
    <t>Yes — national analogue: Angelman e.V. medical-scientific advisory board (Makowski). Not an author of the 2022 international consensus (Duis et al.)</t>
  </si>
  <si>
    <t>Yes — disease + ION582 trial site + competitor trial site: Manssen L … Makowski C. Precision Medicine in Angelman Syndrome. Neuropediatrics 2025;56:69-82, doi:10.1055/a-2399-0191; Manssen L … Borggraefe I, Makowski C. Treatment responses to antiseizure medication in children with AS. Eur J Paediatr Neurol 2026;65:1-7, doi:10.1016/j.ejpn.2026.09.001, PMID 42771958; REVEAL NCT06914609; Aspire NCT06617429; Aldebaran NCT05630066</t>
  </si>
  <si>
    <t>Site — ION582 REVEAL (first EU site, Apr-2026) + Site — competitor (Aspire NCT06617429) + LADDER network contributing clinic; holds a single-centre natural-history cohort (n=101)</t>
  </si>
  <si>
    <t>Affiliated partner — ASF-recognised AS clinic (disease-foundation CoE), listed on Orphanet; LMU Klinikum hosts the MZSE-LMU (ZSE). Not listed as an ERN ITHACA/EpiCARE HCP on se-atlas</t>
  </si>
  <si>
    <t>Yes — dedicated Angelman Zentrum München (ages 0–18; multidisciplinary; 3-day compact programme; ketogenic/LGIT service)</t>
  </si>
  <si>
    <t>ION582 anchor centre for Germany. Tier 1 on the national-analogue reading of P1/P4 (no ERN membership). The REVEAL site PI is not shown on ClinicalTrials.gov/CTIS; Makowski is the most likely lead (she leads the AZM) — confirm with Ionis Medical Affairs. Under the brief's 2022 consensus–only P1 reading the centre would be Tier 2. Aspire missed its endpoints (Sep-2026), so the site's intrathecal-ASO experience can be redeployed. Paediatric only; adults transition to Aachen/Vogtareuth.
Sources: https://clinicaltrials.gov/study/NCT06914609; https://angelman.org/wp-content/uploads/2026/04/Ionis-REVEAL-sites-EU_community-letter.pdf; https://www.lmu-klinikum.de/ispz/schwerpunkte/kinderneurologie-und-entwicklungsneurologie/angelman-zentrum-munchen/92177eec075dcc14; https://angelman.de/wp-content/uploads/2025/01/iSPZ-Flyer-Angelman-Zentrum-MUC-DE-2025.pdf; https://angelman.org/asf-clinics/angelman-center-munich/; https://www.orpha.net/de/expert-centres/centre/630589; https://ichgcp.net/de/clinical-trials-registry/NCT06617429; https://forpatients.roche.com/en/trials/neurodevelopmental-disorder/angelman-syndrome/study-to-investigate-the-pharmacokinetics-and-safety-an-84203.html; https://www.ukaachen.de/fileadmin/files/zentren/mzeb/Angelman_Beiratsflyer.pdf; https://www.thieme-connect.com/products/ejournals/html/10.1055/a-2399-0191; https://pubmed.ncbi.nlm.nih.gov/42771958/; https://www.lmu-klinikum.de/ispz/schwerpunkte/kinderneurologie-und-entwicklungsneurologie/epileptologie/6444bb91e6ed2dae; https://www.lmu-klinikum.de/seltene-erkrankung</t>
  </si>
  <si>
    <t>Leipzig</t>
  </si>
  <si>
    <t>Universitätsklinikum Leipzig AöR (University of Leipzig Medical Center)</t>
  </si>
  <si>
    <t>Angelman-Zentrum Leipzig (AZL) — SPZ / Division of Neuropediatrics, Klinik für Kinder- und Jugendmedizin + Institute of Human Genetics (German Angelman Syndrome Online Registry); B-centre of UZSEL (ZSE Leipzig)</t>
  </si>
  <si>
    <t>Dr. med. Janina Gburek-Augustat; Prof. Dr. med. Andreas Merkenschlager; Dr. med. Ilona Krey (Krey-Grauert); Prof. Dr. med. Johannes R. Lemke</t>
  </si>
  <si>
    <t>Coordinates the German AS patient registry (Angelman Syndrome Online Registry, ethics 465/19-ek; project managers Lemke and Krey; co-funded by Angelman e.V.). GTX-102 Phase 1/2 and Aspire Phase 3 site. ASF-recognised clinic. Two staff on the Angelman e.V. advisory board</t>
  </si>
  <si>
    <t>Yes — national analogue: Angelman e.V. medical-scientific advisory board (Gburek-Augustat, Krey-Grauert)</t>
  </si>
  <si>
    <t>Yes — disease + competitor trial site: co-authors of Manssen et al. Neuropediatrics 2025 (doi:10.1055/a-2399-0191) and EJPN 2026 (PMID 42771958); GTX-102 Phase 1/2 NCT04259281 site; Aspire NCT06617429 site</t>
  </si>
  <si>
    <t>Coordinator — German Angelman Syndrome Online Registry (Institute of Human Genetics, Leipzig) + Site — competitor (GTX-102 Ph1/2; Aspire) + natural-history study participation (per advisory-board flyer)</t>
  </si>
  <si>
    <t>Yes — national ZSE analogue: AZL is a certified B-centre of UZSEL (Universitäres Zentrum für Seltene Erkrankungen Leipzig); ASF-recognised clinic. Not listed as an ERN ITHACA HCP on se-atlas</t>
  </si>
  <si>
    <t>Yes — dedicated Angelman-Zentrum Leipzig (children/adolescents ≤18; outpatient SPZ plus 3–4-day inpatient complex programme)</t>
  </si>
  <si>
    <t>Strongest Tier 1 fit: the registry coordinator role (P3) plus a ZSE B-centre (P4). Germany's second paediatric AS centre, with hands-on intrathecal ASO experience from Ultragenyx trials. Leipzig is not on the REVEAL site list. Ionis says further German REVEAL sites are planned, which makes this a high-value candidate (adult Cohort 2 / CHAMPION) — verify.
Sources: https://angelman.de/hilfe-fuer-eltern/angelman-zentren/; https://angelman.org/asf-clinics/angelman-center-leipzig/; https://angelman.de/wp-content/uploads/2025/07/Falzflyer_Angelman-Zentrum_Leipzig_2025.pdf; https://www.uniklinikum-leipzig.de/einrichtungen/humangenetik/Seiten/de_Forschung-Fragebogen-Angelman-Syndrom.aspx; https://www.uniklinikum-leipzig.de/einrichtungen/humangenetik/Freigegebene%20Dokumente/StudyInformation_Angelman_english.pdf; https://clinicaltrials.gov/study/NCT04259281; https://ichgcp.net/de/clinical-trials-registry/NCT06617429; https://www.ukaachen.de/fileadmin/files/zentren/mzeb/Angelman_Beiratsflyer.pdf; https://www.thieme-connect.com/products/ejournals/html/10.1055/a-2399-0191; https://pubmed.ncbi.nlm.nih.gov/42771958/</t>
  </si>
  <si>
    <t>Essen</t>
  </si>
  <si>
    <t>Universitätsklinikum Essen (Universität Duisburg-Essen)</t>
  </si>
  <si>
    <t>Institut für Humangenetik — imprinting-disorders research group (15q11q13: Angelman / Prader-Willi); Zentrum für ungeklärte angeborene Syndrome und Entwicklungsstörungen (ERN ITHACA HCP)</t>
  </si>
  <si>
    <t>Dr. rer. nat. Jasmin Beygo; Dr. rer. nat. Deniz Kanber; Prof. Dr. Karin Buiting (verify current status)</t>
  </si>
  <si>
    <t>Authors of the international EMQN/ACGS best-practice guideline for molecular analysis of PWS/AS (2019) and the German AWMF S1 guideline on molecular/cytogenetic diagnosis of PWS/AS (078-010, 2020); national reference lab for AS imprinting defects</t>
  </si>
  <si>
    <t>Yes — international diagnostic guideline (EMQN/ACGS 2019, Eur J Hum Genet 27:1326, PMID 31235867) + national guideline (AWMF S1 078-010, 2020: Buiting, Glaeser, Beygo)</t>
  </si>
  <si>
    <t>Yes — disease (molecular): Beygo J et al. Common genetic variation in the AS imprinting centre… Eur J Hum Genet 2020, doi:10.1038/s41431-020-0595-y; Beygo J et al. Prenatal testing for imprinting disorders. Prenat Diagn 2023;43:973-982, doi:10.1002/pd.6398 (recent AS-specific clinical output is thinner)</t>
  </si>
  <si>
    <t>No (no registry or trial role found)</t>
  </si>
  <si>
    <t>Yes — ITHACA (Zentrum für ungeklärte angeborene Syndrome und Entwicklungsstörungen am Universitätsklinikum Essen, se-atlas)</t>
  </si>
  <si>
    <t>Partial — clinical genetics clinic plus imprinting-disorder research programme (no dedicated AS clinic)</t>
  </si>
  <si>
    <t>Formally meets Tier 1 (P1 + P4 + P2), but it is a laboratory/diagnostic anchor, not a treating centre for intrathecal ASOs. Value lies in genotype stratification (deletion/UBE3A vs UPD/ID — directly relevant to REVEAL eligibility and CHAMPION) and diagnostic-pathway education. The KOLs are PhD scientists, not physicians.
Sources: https://pubmed.ncbi.nlm.nih.gov/31235867/; https://www.thieme-connect.com/products/ejournals/html/10.1055/a-2399-0191; https://www.nature.com/articles/s41431-020-0595-y; https://obgyn.onlinelibrary.wiley.com/doi/pdf/10.1002/pd.6398; https://humangenetik.uk-essen.de/forschung/imprintingdiseases/; https://humangenetik.uk-essen.de/forschung/veroeffentlichungen/; https://www.se-atlas.de/map/ern/ERN%20ITHACA</t>
  </si>
  <si>
    <t>Hamburg</t>
  </si>
  <si>
    <t>Universitätsklinikum Hamburg-Eppendorf (UKE)</t>
  </si>
  <si>
    <t>Klinik und Poliklinik für Kinder- und Jugendmedizin — Arbeitsgruppe Neuropädiatrie (epilepsy, neuromuscular, TSC centre) + Institut für Humangenetik (ERN ITHACA HCP)</t>
  </si>
  <si>
    <t>Prof. Dr. med. Jonas Denecke (Ärztliche Leitung AG Neuropädiatrie); PD Dr. med. Jessika Johannsen — AS trial PI not publicly identified, verify locally</t>
  </si>
  <si>
    <t>Competitor trial site: GTX-102 Phase 1/2 (NCT04259281) and Aspire Phase 3 (NCT06617429); ERN ITHACA HCP (Human Genetics)</t>
  </si>
  <si>
    <t>Yes — competitor trial (site for GTX-102 Ph1/2 and Aspire); no AS-specific UKE publication identified</t>
  </si>
  <si>
    <t>Site — competitor (GTX-102 Ph1/2; Aspire)</t>
  </si>
  <si>
    <t>Yes — ITHACA (Institut für Humangenetik am UKE, se-atlas)</t>
  </si>
  <si>
    <t>Partial — paediatric epilepsy programme (VNS, ketogenic diet), neuromuscular centre, TSC centre; no dedicated AS clinic found</t>
  </si>
  <si>
    <t>Has intrathecal ASO trial experience in AS and ITHACA status — the prime displaceable site after the Aspire failure. Could serve as a northern German REVEAL Cohort 2 / CHAMPION site. Site PI unknown.
Sources: https://clinicaltrials.gov/study/NCT04259281; https://ichgcp.net/de/clinical-trials-registry/NCT06617429; https://www.uke.de/kliniken-institute/kliniken/kinder-und-jugendmedizin/forschung/klinische-forschung/neurop%C3%A4diatrie.html; https://www.se-atlas.de/map/ern/ERN%20ITHACA</t>
  </si>
  <si>
    <t>Aachen</t>
  </si>
  <si>
    <t>Uniklinik RWTH Aachen</t>
  </si>
  <si>
    <t>MZEB (Medizinisches Zentrum für Erwachsene mit geistiger Behinderung und/oder schweren Mehrfachbehinderungen) — Angelman Zentrum Aachen (AZA, adults ≥18), Klinik für Neurologie</t>
  </si>
  <si>
    <t>Dr. med. Andrea Maier (Leitung AZA; geschäftsführende Oberärztin MZEB); Univ.-Prof. Dr. med. Jörg B. Schulz (Leiter MZEB; Director of Neurology)</t>
  </si>
  <si>
    <t>Only adult AS centre in Germany (founded 2021 with Angelman e.V.); ASF-recognised clinic; Orphanet expert-centre coordinator (Maier); Maier sits on the Angelman e.V. advisory board</t>
  </si>
  <si>
    <t>Yes — national analogue: Angelman e.V. medical-scientific advisory board (Maier)</t>
  </si>
  <si>
    <t>No AS-specific peer-reviewed publication identified (2021–2026)</t>
  </si>
  <si>
    <t>No (centre states it is equipped for clinical trials; no AS trial listing found)</t>
  </si>
  <si>
    <t>Affiliated partner — ASF-recognised AS clinic + Orphanet expert centre; ZSE Aachen at Uniklinik RWTH Aachen (se-atlas ZSE list)</t>
  </si>
  <si>
    <t>Yes — dedicated Angelman Zentrum Aachen (adults)</t>
  </si>
  <si>
    <t>Strategic for REVEAL Cohort 2 (adults 18–50) and adult transition. Works closely with AZM Munich. No research signal yet.
Sources: https://www.ukaachen.de/kliniken-institute/mzeb/fuer-patienten-und-zuweiser/angelman-zentrum-aachen/; https://angelman.org/asf-clinics/angelman-center-aachen/; https://www.orpha.net/de/expert-centres/centre/692003; https://www.ukaachen.de/en/kliniken-institute/mzeb/zentrum/team/; https://www.ukaachen.de/kliniken-institute/klinik-fuer-neurologie/forschung-1/forschungsschwerpunkte/forschungsgruppen/forschungsgruppe-maier/; https://www.ukaachen.de/fileadmin/files/zentren/mzeb/Angelman_Beiratsflyer.pdf; https://angelman.de/hilfe-fuer-eltern/angelman-zentren/; https://www.se-atlas.de/map/zse/</t>
  </si>
  <si>
    <t>Tübingen</t>
  </si>
  <si>
    <t>Universitätsklinikum Tübingen</t>
  </si>
  <si>
    <t>Zentrum für Seltene neurologische Erkrankungen und Entwicklungsstörungen (ZSNE) — Spezialambulanz für Syndromale Entwicklungsstörungen; Institut für Medizinische Genetik und angewandte Genomik; Epilepsy Dept (EpiCARE)</t>
  </si>
  <si>
    <t>Dual ERN membership (ITHACA + EpiCARE) with a syndromic developmental-disorders clinic</t>
  </si>
  <si>
    <t>No AS-specific publication identified</t>
  </si>
  <si>
    <t>Partial — syndromic developmental disorders clinic + rare epilepsy</t>
  </si>
  <si>
    <t>Tier 2 on the P4 + P5 floor. No AS-specific activity found. Intrathecal-capable paediatric neurology — verify locally.
Sources: https://www.se-atlas.de/map/ern/ERN%20ITHACA; https://epi-care.eu/ern-epicare-centres/; https://www.se-atlas.de/map/ern/ERN%20EpiCARE</t>
  </si>
  <si>
    <t>Erlangen</t>
  </si>
  <si>
    <t>Universitätsklinikum Erlangen</t>
  </si>
  <si>
    <t>Zentrum für Seltene Entwicklungsstörungen (Human Genetics + SPZ) — ERN ITHACA; B-Zentrum Tuberöse Sklerose und seltene Epilepsien / Epilepsy Centre — ERN EpiCARE</t>
  </si>
  <si>
    <t>Dual ERN membership (ITHACA + EpiCARE) with rare developmental-disorder clinics in Human Genetics and the SPZ</t>
  </si>
  <si>
    <t>Partial — rare developmental disorders clinic (Human Genetics and SPZ) + rare epilepsies</t>
  </si>
  <si>
    <t>Tier 2 on the P4 + P5 floor. No AS-specific activity found.
Sources: https://www.se-atlas.de/map/ern/ERN%20ITHACA; https://epi-care.eu/ern-epicare-centres/; https://www.zts.uk-erlangen.de/aerzte-zuweiser/krankheitsbilder/</t>
  </si>
  <si>
    <t>Düsseldorf</t>
  </si>
  <si>
    <t>Universitätsklinikum Düsseldorf (UKD)</t>
  </si>
  <si>
    <t>Klinische Genommedizin – Zentrum für syndromale Erkrankungen und angeborene Fehlbildungen (ZSE Düsseldorf); neurogenetic clinic; SPZ</t>
  </si>
  <si>
    <t>Prof. Dr. med. Dagmar Wieczorek (ERN ITHACA Düsseldorf centre contact)</t>
  </si>
  <si>
    <t>ERN ITHACA HCP; neurogenetic and intellectual-disability clinics</t>
  </si>
  <si>
    <t>Partial — neurogenetic clinic and intellectual-disability focus</t>
  </si>
  <si>
    <t>Formally meets the Tier 2 floor (P4 + partial P5). Placed in Tier 3 because there is no AS-specific activity (reviewer decision). Covers a Rhine-Ruhr catchment of more than 11 million.
Sources: https://ern-ithaca.eu/about-us/expert-centers/ern-ithaca-dusseldorf-center/; https://www.se-atlas.de/map/ern/ERN%20ITHACA</t>
  </si>
  <si>
    <t>Göttingen</t>
  </si>
  <si>
    <t>Universitätsmedizin Göttingen (UMG)</t>
  </si>
  <si>
    <t>Institut für Humangenetik — Zentrum für Ungeklärte Angeborene Syndrome und Klinische Genommedizin (ZSEG)</t>
  </si>
  <si>
    <t>Prof. Dr. Bernd Wollnik (ZSEG board member)</t>
  </si>
  <si>
    <t>ERN ITHACA member since 2022</t>
  </si>
  <si>
    <t>Partial — undiagnosed congenital syndromes clinic</t>
  </si>
  <si>
    <t>Placed in Tier 3 because there is no AS-specific activity (formally meets the P4 + P5-partial floor).
Sources: https://humangenetik.umg.eu/genetische-beratung/seltene-erkrankungen/; https://www.se-atlas.de/map/ern/ERN%20ITHACA</t>
  </si>
  <si>
    <t>Münster</t>
  </si>
  <si>
    <t>Universitätsklinikum Münster</t>
  </si>
  <si>
    <t>Klinik für Medizinische Genetik</t>
  </si>
  <si>
    <t>ERN ITHACA HCP</t>
  </si>
  <si>
    <t>Partial — medical genetics clinic</t>
  </si>
  <si>
    <t>Tier 3 — no AS-specific activity found.
Sources: https://www.se-atlas.de/map/ern/ERN%20ITHACA</t>
  </si>
  <si>
    <t>Lübeck</t>
  </si>
  <si>
    <t>Universitätsklinikum Schleswig-Holstein, Campus Lübeck</t>
  </si>
  <si>
    <t>Zentrum für seltene genetische Syndrome und angeborene Fehlbildungen</t>
  </si>
  <si>
    <t>Partial — rare genetic syndromes centre</t>
  </si>
  <si>
    <t>Magdeburg</t>
  </si>
  <si>
    <t>Universitätsklinikum Magdeburg</t>
  </si>
  <si>
    <t>Zentrum für genetisch bedingte Störungen der körperlichen und geistigen Entwicklung (ZfE)</t>
  </si>
  <si>
    <t>Partial — genetic developmental-disorder centre</t>
  </si>
  <si>
    <t>Freiburg</t>
  </si>
  <si>
    <t>Universitätsklinikum Freiburg</t>
  </si>
  <si>
    <t>Epilepsiezentrum / Abteilung Prächirurgische Epilepsiediagnostik (ERN EpiCARE)</t>
  </si>
  <si>
    <t>Prof. Dr. Andreas Schulze-Bonhage (Ärztlicher Leiter, Epilepsy Centre)</t>
  </si>
  <si>
    <t>ERN EpiCARE HCP (one of the German EpiCARE centres); ZSE Freiburg (FZSE)</t>
  </si>
  <si>
    <t>Yes — EpiCARE</t>
  </si>
  <si>
    <t>Partial — rare/complex epilepsy programme</t>
  </si>
  <si>
    <t>Rare-epilepsy reference centre. Mainly adult/presurgical focus. No AS activity found.
Sources: https://www.uniklinik-freiburg.de/epilepsie/fuer-aerzte/epicare.html; https://epi-care.eu/ern-epicare-centres/; https://www.se-atlas.de/map/zse/</t>
  </si>
  <si>
    <t>Bonn</t>
  </si>
  <si>
    <t>Universitätsklinikum Bonn</t>
  </si>
  <si>
    <t>Department of Epileptology — Zentrum für seltene Epilepsien (ERN EpiCARE)</t>
  </si>
  <si>
    <t>ERN EpiCARE HCP</t>
  </si>
  <si>
    <t>Partial — rare epilepsy centre incl. paediatric rare-epilepsy clinic</t>
  </si>
  <si>
    <t>Tier 3 — no AS-specific activity found.
Sources: https://epi-care.eu/ern-epicare-centres/; https://www.se-atlas.de/map/ern/ERN%20EpiCARE</t>
  </si>
  <si>
    <t>Berlin</t>
  </si>
  <si>
    <t>Charité – Universitätsmedizin Berlin</t>
  </si>
  <si>
    <t>Berliner Centrum für Seltene Erkrankungen (BCSE); paediatric neurology / SPZ</t>
  </si>
  <si>
    <t>Large university hospital with a ZSE; no ERN ITHACA/EpiCARE listing on se-atlas</t>
  </si>
  <si>
    <t>No (national ZSE only — BCSE)</t>
  </si>
  <si>
    <t>Partial — ZSE / SPZ (verify)</t>
  </si>
  <si>
    <t>Large catchment. Infrastructure for intrathecal administration is likely but not verified for AS.
Sources: https://www.se-atlas.de/map/zse/</t>
  </si>
  <si>
    <t>Heidelberg</t>
  </si>
  <si>
    <t>Universitätsklinikum Heidelberg</t>
  </si>
  <si>
    <t>Zentrum für Seltene Erkrankungen Heidelberg; paediatric neurology</t>
  </si>
  <si>
    <t>Large university hospital with a ZSE</t>
  </si>
  <si>
    <t>No (national ZSE only)</t>
  </si>
  <si>
    <t>Partial — ZSE (verify)</t>
  </si>
  <si>
    <t>Tier 3 — no AS-specific activity found.
Sources: https://www.se-atlas.de/map/zse/</t>
  </si>
  <si>
    <t>Vogtareuth</t>
  </si>
  <si>
    <t>Schön Klinik Vogtareuth</t>
  </si>
  <si>
    <t>Neurology / neuropaediatrics / epilepsy centre (adults and children)</t>
  </si>
  <si>
    <t>Named by Angelman e.V. as a contact point for adults with AS (alongside Aachen); complex-epilepsy expertise</t>
  </si>
  <si>
    <t>Partial — adult AS contact point plus complex-epilepsy programme</t>
  </si>
  <si>
    <t>Non-university specialist hospital. Relevant to the adult AS care pathway in Bavaria; the AS lead was not identified.
Sources: https://angelman.de/hilfe-fuer-eltern/angelman-zentren/; https://www.schoen-clinic.com/international-patients/neurology/vogtareuth</t>
  </si>
  <si>
    <t>Italy</t>
  </si>
  <si>
    <t>Milano</t>
  </si>
  <si>
    <t>Fondazione IRCCS Istituto Neurologico Carlo Besta</t>
  </si>
  <si>
    <t>UOC Neurologia dello Sviluppo – Centro Fondazione Mariani per le Disabilità Complesse (Dip. Neuroscienze Pediatriche)</t>
  </si>
  <si>
    <t>Dr Stefano D'Arrigo (PI); Dr.ssa Claudia Ciaccio</t>
  </si>
  <si>
    <t>Scientific direction/PI of the FAST Italia–Besta Angelman Biobank (first European AS biobank, national ~100-family cohort); REVEAL (ION582) recruiting site; Aurora (GTX-102) site</t>
  </si>
  <si>
    <t>No (no Italian national AS guideline/consensus identified; no Italian author on Duis 2022 intl consensus)</t>
  </si>
  <si>
    <t>Yes — ION582 trial (REVEAL NCT06914609 site) + competitor trial (Aurora NCT07157254 site); AS biobank protocol abstract (Sirtori…D'Arrigo 2021)</t>
  </si>
  <si>
    <t>Coordinator (FAST Italia AS Biobank, national) + Site — ION582 REVEAL + Site — competitor (Aurora)</t>
  </si>
  <si>
    <t>Yes</t>
  </si>
  <si>
    <t>Qualifies Tier 1 via P3 national-cohort coordination (biobank) rather than P1. Only Italian centre active in BOTH Ionis REVEAL and Ultragenyx Aurora. Peer-reviewed AS publication output from the biobank not verified — check before advisory invitation.
Sources: https://www.dottnet.it/articolo/32526756/sindrome-di-angelman-nasce-la-prima-biobanca-di-campioni-biologici/; https://www.cureangelman.it/wp-content/uploads/2021/02/definitivo-Angelman-Syndrome-Biobanking3-1.pdf; https://www.ilgiorno.it/milano/cronaca/listituto-besta-guidera-la-ricerca-contro-la-sindrome-di-angelman-x4l6oa2u; https://sindromediangelman.org/wp-content/uploads/2026/05/PA-IT-AS-260001-Community-Statement-REVEAL-Opens-in-Italy-052626.pdf; https://www.fsm.unipi.it/2026/05/21/angelman-trial-clinico-ionis-pisa-2026/; https://ichgcp.net/clinical-trials-registry/NCT07157254; https://sindromediangelman.org/wp-content/uploads/2026/01/Aggiornamento-Trial-Ultragenix.pdf; https://www.malattierare.gov.it/ern/ricerca</t>
  </si>
  <si>
    <t>Pisa (Calambrone)</t>
  </si>
  <si>
    <t>IRCCS Fondazione Stella Maris / Azienda Ospedaliero Universitaria Pisana</t>
  </si>
  <si>
    <t>UO Neurologia (Neuropsichiatria infantile), Stella Maris; trial registered under AOU Pisana</t>
  </si>
  <si>
    <t>Prof.ssa Roberta Battini; Dr.ssa Anna Rita Ferrari; Prof. Giovanni Cioni (emeritus)</t>
  </si>
  <si>
    <t>Only Italian HALOS (ION582 Ph1/2) site (AOU Pisana) AND REVEAL recruiting site (Battini named as REVEAL clinician lead); hosted OR.S.A. national REVEAL family meeting 23-May-2026; ASA-funded AS translational research (2021)</t>
  </si>
  <si>
    <t>Yes — ION582 trials (HALOS NCT05127226 + REVEAL NCT06914609); ASA grant 2021 (Tonazzini/Baroncelli/Battini) on AS brain-targeting tools</t>
  </si>
  <si>
    <t>Site — ION582 HALOS + REVEAL</t>
  </si>
  <si>
    <t>No (AOU Pisana is HCP in ERN-RND/EURO-NMD/MetabERN, not ITHACA/EpiCARE)</t>
  </si>
  <si>
    <t>Yes (OR.S.A. reference centre)</t>
  </si>
  <si>
    <t>Functionally the #1 ION582 evidence partner in Italy (longest intrathecal ION582 experience: HALOS since 2021-22 + LTE). Formal Tier 2 because no P4 ITHACA/EpiCARE and no P1/P3-coordinator role.
Sources: https://ichgcp.net/clinical-trials-registry/NCT05127226; https://ichgcp.net/clinical-trials-registry/NCT06914609; https://sindromediangelman.org/wp-content/uploads/2026/05/PA-IT-AS-260001-Community-Statement-REVEAL-Opens-in-Italy-052626.pdf; https://www.fsm.unipi.it/2026/05/21/angelman-trial-clinico-ionis-pisa-2026/; https://www.fsm.unipi.it/professionista/roberta-battini/; https://angelmanalliance.org/publications-of-asa-founded-researchers/; https://sindromediangelman.org/centri-sintrome-di-angelman/; https://www.malattierare.gov.it/ern/ricerca</t>
  </si>
  <si>
    <t>Roma</t>
  </si>
  <si>
    <t>IRCCS Ospedale Pediatrico Bambino Gesù</t>
  </si>
  <si>
    <t>UO Neurologia dell'Epilessia e Disturbi del Movimento (EpiCARE); Dip. Neuroriabilitazione</t>
  </si>
  <si>
    <t>Dr Nicola Pietrafusa (REVEAL); Dr Nicola Specchio (unit head); Dr.ssa Michelina Armando; Prof. Federico Vigevano</t>
  </si>
  <si>
    <t>REVEAL recruiting site (Pietrafusa); AS epilepsy publication (CBD in NCSE, 2024); OR.S.A. reference centre</t>
  </si>
  <si>
    <t>Yes — disease (Pietrafusa…Specchio, Epilepsia Open 2024, PMID 39175208) + ION582 trial (REVEAL site)</t>
  </si>
  <si>
    <t>Site — ION582 REVEAL</t>
  </si>
  <si>
    <t>Yes (OR.S.A. reference centre; dedicated AS info page)</t>
  </si>
  <si>
    <t>Strongest Tier 2: full P4 + P2 + P3 site; misses Tier 1 only for lack of P1/P3-coordinator role.
Sources: https://ichgcp.net/clinical-trials-registry/NCT06914609; https://www.fsm.unipi.it/2026/05/21/angelman-trial-clinico-ionis-pisa-2026/; https://pubmed.ncbi.nlm.nih.gov/39175208/; https://www.ospedalebambinogesu.it/epilessie-rare-e-complesse-98672/; https://sindromediangelman.org/centri-sintrome-di-angelman/; https://www.malattierare.gov.it/ern/ricerca</t>
  </si>
  <si>
    <t>Conegliano (TV)</t>
  </si>
  <si>
    <t>IRCCS Eugenio Medea – Associazione La Nostra Famiglia, Polo di Conegliano</t>
  </si>
  <si>
    <t>Unità di Epilessia e Neurofisiologia Clinica</t>
  </si>
  <si>
    <t>Dr Alberto Danieli (REVEAL); Dr Paolo Bonanni; Dr.ssa Elisa Osanni; Dr.ssa Susanna Negrin</t>
  </si>
  <si>
    <t>REVEAL site (listed 'not yet recruiting' Jun-2026; Danieli named lead); most AS-research-active Italian epilepsy group (hd-EEG E/I biomarker 2026; strabismus 2020; adult AS multicentre 2017)</t>
  </si>
  <si>
    <t>Yes — disease (Duma…Bonanni, Danieli, Biol Psychiatry Glob Open Sci 2026, PMID 42733627) + ION582 trial (REVEAL site)</t>
  </si>
  <si>
    <t>Site — ION582 REVEAL (activation pending per CT.gov Jun-2026)</t>
  </si>
  <si>
    <t>No (not an ERN HCP)</t>
  </si>
  <si>
    <t>EEG biomarker work directly relevant to ASO pharmacodynamics (delta power/E-I). OR.S.A. HQ is in Treviso (same province).
Sources: https://ichgcp.net/clinical-trials-registry/NCT06914609; https://www.fsm.unipi.it/2026/05/21/angelman-trial-clinico-ionis-pisa-2026/; https://pubmed.ncbi.nlm.nih.gov/42733627/; https://www.ncbi.nlm.nih.gov/pmc/articles/PMC7665582/; https://www.epilepsybehavior.com/article/S1525-5050%2817%2930196-8/fulltext; https://sindromediangelman.org/centri-sintrome-di-angelman/</t>
  </si>
  <si>
    <t>Firenze</t>
  </si>
  <si>
    <t>Azienda Ospedaliero Universitaria Meyer IRCCS</t>
  </si>
  <si>
    <t>Neurologia Pediatrica / Centro di eccellenza Neuroscienze</t>
  </si>
  <si>
    <t>Prof. Renzo Guerrini</t>
  </si>
  <si>
    <t>Aurora (GTX-102, Ultragenyx) Italian site; OR.S.A. reference centre</t>
  </si>
  <si>
    <t>Yes — competitor trial (Aurora NCT07157254 site)</t>
  </si>
  <si>
    <t>Site — competitor (Aurora)</t>
  </si>
  <si>
    <t>Competitor-trial site — high CI value; trial-ready for intrathecal ASO. Aspire (Ph3) failed Sep-2026; Aurora status 'active, not recruiting'.
Sources: https://ichgcp.net/clinical-trials-registry/NCT07157254; https://sindromediangelman.org/wp-content/uploads/2026/01/Aggiornamento-Trial-Ultragenix.pdf; https://sindromediangelman.org/centri-sintrome-di-angelman/; https://www.malattierare.gov.it/ern/ricerca</t>
  </si>
  <si>
    <t>Fondazione Policlinico Universitario A. Gemelli IRCCS</t>
  </si>
  <si>
    <t>Neuropsichiatria Infantile</t>
  </si>
  <si>
    <t>Prof.ssa Domenica Immacolata Battaglia</t>
  </si>
  <si>
    <t>Aurora (GTX-102) Italian site per OR.S.A. (CT.gov lists Rome 'Clinical Trial Site')</t>
  </si>
  <si>
    <t>Yes — competitor trial (Aurora site)</t>
  </si>
  <si>
    <t>Partial (child neuropsychiatry/rare epilepsy)</t>
  </si>
  <si>
    <t>Not on OR.S.A. reference-centre list; trial identity of Rome Aurora site taken from OR.S.A. letter.
Sources: https://sindromediangelman.org/wp-content/uploads/2026/01/Aggiornamento-Trial-Ultragenix.pdf; https://ichgcp.net/clinical-trials-registry/NCT07157254; https://www.malattierare.gov.it/ern/ricerca</t>
  </si>
  <si>
    <t>Genova</t>
  </si>
  <si>
    <t>IRCCS Istituto Giannina Gaslini</t>
  </si>
  <si>
    <t>UOC Neuropsichiatria Infantile (EpiCARE)</t>
  </si>
  <si>
    <t>Dr.ssa Maria Margherita Mancardi; Prof. Lino Nobili</t>
  </si>
  <si>
    <t>ITHACA+EpiCARE HCP; OR.S.A. reference centre</t>
  </si>
  <si>
    <t>No (no Italian AS paper verified 2021-26)</t>
  </si>
  <si>
    <t>Tier 2 on P4+P5 rule. Natural candidate for CHAMPION/REVEAL expansion (north-west coverage).
Sources: https://sindromediangelman.org/centri-sintrome-di-angelman/; https://www.malattierare.gov.it/ern/ricerca; https://www.epag-italia.it/it/ern/ern-epicare</t>
  </si>
  <si>
    <t>Padova</t>
  </si>
  <si>
    <t>Azienda Ospedale Università di Padova</t>
  </si>
  <si>
    <t>Neurologia Pediatrica, Dip. Salute della Donna e del Bambino</t>
  </si>
  <si>
    <t>Dr Stefano Sartori</t>
  </si>
  <si>
    <t>ITHACA HCP; OR.S.A. reference centre</t>
  </si>
  <si>
    <t>North-east hub alongside Medea Conegliano.
Sources: https://sindromediangelman.org/centri-sintrome-di-angelman/; https://www.malattierare.gov.it/ern/ricerca</t>
  </si>
  <si>
    <t>Napoli</t>
  </si>
  <si>
    <t>AOU Federico II</t>
  </si>
  <si>
    <t>Prof.ssa Carmela Bravaccio</t>
  </si>
  <si>
    <t>Main southern ITHACA hub; no AS trial site in South Italy — access gap.
Sources: https://sindromediangelman.org/centri-sintrome-di-angelman/; https://www.malattierare.gov.it/ern/ricerca</t>
  </si>
  <si>
    <t>Verona</t>
  </si>
  <si>
    <t>Azienda Ospedaliera Universitaria Integrata di Verona</t>
  </si>
  <si>
    <t>Prof.ssa Francesca Darra; Dr.ssa Elena Fontana</t>
  </si>
  <si>
    <t>EpiCARE HCP; OR.S.A. reference centre</t>
  </si>
  <si>
    <t>Historic Italian AS EEG school (Verona); verify current AS output.
Sources: https://sindromediangelman.org/centri-sintrome-di-angelman/; https://www.epag-italia.it/it/ern/ern-epicare; https://www.malattierare.gov.it/ern/ricerca</t>
  </si>
  <si>
    <t>Bologna</t>
  </si>
  <si>
    <t>IRCCS Istituto delle Scienze Neurologiche di Bologna (Ospedale Bellaria)</t>
  </si>
  <si>
    <t>Dr.ssa Antonella Boni</t>
  </si>
  <si>
    <t xml:space="preserve">
Sources: https://sindromediangelman.org/centri-sintrome-di-angelman/; https://www.malattierare.gov.it/ern/ricerca</t>
  </si>
  <si>
    <t>Bergamo</t>
  </si>
  <si>
    <t>FROM – Fondazione per la Ricerca Ospedale di Bergamo ETS (ASST Papa Giovanni XXIII)</t>
  </si>
  <si>
    <t>Research foundation – Italian Angelman Syndrome Registry (RISA)</t>
  </si>
  <si>
    <t>Dr Francesco Biroli (corresponding author)</t>
  </si>
  <si>
    <t>Coordinator of RISA, the national patient-reported Italian AS registry (NCT03650569; 2018–2021; 82 patients). Results published 2024.</t>
  </si>
  <si>
    <t>Yes — disease (Carriero PL…Biroli F. J Clin Med 2024;13(12):3520, PMID 38930051)</t>
  </si>
  <si>
    <t>Coordinator (RISA national registry, completed)</t>
  </si>
  <si>
    <t>No (Papa Giovanni XXIII is not an ITHACA/EpiCARE HCP)</t>
  </si>
  <si>
    <t>No (registry/research foundation, not an AS clinic)</t>
  </si>
  <si>
    <t>Tier 2 via the national registry coordinator role (P3). This is an RWE/registry partner, not a treatment site. Recruitment closed in Feb-2021, and the registry was run with patient-org input.
Sources: https://www.mdpi.com/2077-0383/13/12/3520; https://europepmc.org/article/MED/38930051; https://ichgcp.net/clinical-trials-registry/NCT03650569</t>
  </si>
  <si>
    <t>Troina (EN)</t>
  </si>
  <si>
    <t>IRCCS Associazione Oasi Maria SS.</t>
  </si>
  <si>
    <t>UOC Neurologia e Neurofisiopatologia Clinica e Strumentale</t>
  </si>
  <si>
    <t>Dr Maurizio Elia</t>
  </si>
  <si>
    <t>OR.S.A. reference centre; co-author Italian adult-AS multicentre study (2017)</t>
  </si>
  <si>
    <t>Qualified — disease, pre-2021 (Sueri et al. Epilepsy Behav 2017)</t>
  </si>
  <si>
    <t>No (not ITHACA/EpiCARE HCP per national list)</t>
  </si>
  <si>
    <t>Yes (OR.S.A. reference centre; ID-specialised IRCCS)</t>
  </si>
  <si>
    <t>Sicilian ID reference IRCCS; recent (2021-26) AS output not verified.
Sources: https://sindromediangelman.org/centri-sintrome-di-angelman/; https://www.epilepsybehavior.com/article/S1525-5050%2817%2930196-8/fulltext; https://www.malattierare.gov.it/centri_cura/elenco_per_malattia/130</t>
  </si>
  <si>
    <t>Reggio Calabria / Catanzaro</t>
  </si>
  <si>
    <t>GOM Bianchi-Melacrino-Morelli – Centro Regionale Epilessie / Università Magna Græcia</t>
  </si>
  <si>
    <t>Centro Regionale Epilessie</t>
  </si>
  <si>
    <t>Prof. Umberto Aguglia; Dr Edoardo Ferlazzo</t>
  </si>
  <si>
    <t>OR.S.A. reference centre; lead/corresponding centre of 2017 Italian adult-AS multicentre study</t>
  </si>
  <si>
    <t>Qualified — disease, pre-2021 (Sueri, Ferlazzo et al. 2017)</t>
  </si>
  <si>
    <t>Only Calabrian AS reference point.
Sources: https://sindromediangelman.org/centri-sintrome-di-angelman/; https://www.epilepsybehavior.com/article/S1525-5050%2817%2930196-8/fulltext</t>
  </si>
  <si>
    <t>IRCCS Istituto Auxologico Italiano</t>
  </si>
  <si>
    <t>Genetica Clinica e Laboratorio di Biologia Molecolare</t>
  </si>
  <si>
    <t>Dr.ssa Silvia Russo</t>
  </si>
  <si>
    <t>OR.S.A. reference genetics lab; ASA-funded AS research (2016 grant)</t>
  </si>
  <si>
    <t>Qualified — disease research (ASA grant 2016; outputs pre-2021)</t>
  </si>
  <si>
    <t>No (Auxologico is HCP in other ERNs, not ITHACA)</t>
  </si>
  <si>
    <t>Partial (AS molecular diagnostics)</t>
  </si>
  <si>
    <t>Diagnostic (methylation/UBE3A) partner — relevant to genotype confirmation for REVEAL/CHAMPION eligibility.
Sources: https://sindromediangelman.org/centri-sintrome-di-angelman/; https://angelmanalliance.org/publications-of-asa-founded-researchers/</t>
  </si>
  <si>
    <t>Fondazione IRCCS Ca' Granda Ospedale Maggiore Policlinico</t>
  </si>
  <si>
    <t>Genetica medica / Pediatria</t>
  </si>
  <si>
    <t>ITHACA HCP</t>
  </si>
  <si>
    <t>University of Milan Medical Genetics (Miozzo/Sirchia) partners Besta AS biobank — verify clinical AS service.
Sources: https://www.malattierare.gov.it/ern/ricerca; https://www.dottnet.it/articolo/32526756/sindrome-di-angelman-nasce-la-prima-biobanca-di-campioni-biologici/</t>
  </si>
  <si>
    <t>ASST Fatebenefratelli-Sacco – Ospedale Fatebenefratelli</t>
  </si>
  <si>
    <t>Neurologia Pediatrica – CREI Centro Regionale Epilettologia Infantile</t>
  </si>
  <si>
    <t>Dr Antonino Romeo</t>
  </si>
  <si>
    <t>OR.S.A. reference centre</t>
  </si>
  <si>
    <t xml:space="preserve">
Sources: https://sindromediangelman.org/centri-sintrome-di-angelman/</t>
  </si>
  <si>
    <t>Brescia</t>
  </si>
  <si>
    <t>ASST Spedali Civili di Brescia</t>
  </si>
  <si>
    <t>Prof.ssa Elisa Fazzi</t>
  </si>
  <si>
    <t>IRCCS AOU di Bologna – Policlinico Sant'Orsola</t>
  </si>
  <si>
    <t xml:space="preserve">
Sources: https://www.malattierare.gov.it/ern/ricerca</t>
  </si>
  <si>
    <t>Siena</t>
  </si>
  <si>
    <t>Azienda Ospedaliero Universitaria Senese</t>
  </si>
  <si>
    <t>Genetica medica</t>
  </si>
  <si>
    <t>Torino</t>
  </si>
  <si>
    <t>AOU Città della Salute e della Scienza (Regina Margherita)</t>
  </si>
  <si>
    <t>Genetica medica / Neuropsichiatria infantile</t>
  </si>
  <si>
    <t>No Piedmont AS trial site; OR.S.A. lists Novara and Alessandria instead.
Sources: https://www.malattierare.gov.it/ern/ricerca</t>
  </si>
  <si>
    <t>Ferrara</t>
  </si>
  <si>
    <t>AOU S. Anna</t>
  </si>
  <si>
    <t>Reggio Emilia</t>
  </si>
  <si>
    <t>Azienda USL-IRCCS di Reggio Emilia</t>
  </si>
  <si>
    <t>Pavia</t>
  </si>
  <si>
    <t>IRCCS Fondazione Mondino</t>
  </si>
  <si>
    <t>Neuropsichiatria infantile / Epilessia</t>
  </si>
  <si>
    <t>EpiCARE HCP</t>
  </si>
  <si>
    <t>Salerno</t>
  </si>
  <si>
    <t>AOU San Giovanni di Dio e Ruggi d'Aragona</t>
  </si>
  <si>
    <t>UOC Neuropsichiatria Infantile</t>
  </si>
  <si>
    <t>Prof. Giangennaro Coppola</t>
  </si>
  <si>
    <t>San Giovanni Rotondo (FG)</t>
  </si>
  <si>
    <t>IRCCS Casa Sollievo della Sofferenza</t>
  </si>
  <si>
    <t>Dr Michele Germano</t>
  </si>
  <si>
    <t>Cagliari</t>
  </si>
  <si>
    <t>AO Brotzu – Ospedale Pediatrico Microcitemico 'Antonio Cao'</t>
  </si>
  <si>
    <t>UO Neurologia Pediatrica</t>
  </si>
  <si>
    <t>Dr Dario Pruna</t>
  </si>
  <si>
    <t>Only Sardinian AS reference point.
Sources: https://sindromediangelman.org/centri-sintrome-di-angelman/</t>
  </si>
  <si>
    <t>Novara</t>
  </si>
  <si>
    <t>AOU Maggiore della Carità</t>
  </si>
  <si>
    <t>Dr Maurizio Viri</t>
  </si>
  <si>
    <t>Spain</t>
  </si>
  <si>
    <t>Sabadell (Barcelona)</t>
  </si>
  <si>
    <t>Corporació Sanitària Parc Taulí – Hospital Universitari Parc Taulí (Hospital de Sabadell)</t>
  </si>
  <si>
    <t>Unidad/Unitat de Síndrome de Angelman (ASF Clinic) – Neuropediatría, Servei de Pediatria; I3PT group 'Trastorns del neurodesenvolupament de base genètica'</t>
  </si>
  <si>
    <t>Dra. Ana Roche Martínez (clinic head; co-lead I3PT group); Dra. Ariadna Ramírez (neuropsychology); Dra. Neus Baena (molecular genetics lab); Dra. Carme Brun-Gasca (legacy behavioural-phenotype lead – verify activity)</t>
  </si>
  <si>
    <t>FIRST Spanish (and joint-first EU) REVEAL site (activated Apr-2026); ASF-recognised Angelman clinic (Mar-2025, first in Spain) and LADDER-endorsed; XUEC (Catalan Clinical Expertise Unit) coordinator for AS care process; FAST España scientific-committee core unit; host of 1st European Workshop on AS (EWAS 2023); ~140 AS patients</t>
  </si>
  <si>
    <t>No (no Spanish author on Duis 2022; no Spanish national AS guideline identified)</t>
  </si>
  <si>
    <t>Yes — ION582 trial (REVEAL NCT06914609 site) + Yes — competitor trials (Aspire NCT06617429; GTX-102 Ph1/2 NCT04259281 &amp; LTE NCT06415344; TANGELO rugonersen NCT04428281 – Dr Roche named PI; alogabat Aldebaran NCT05630066). Disease publications modest (mostly fragile X/genetic NDD, e.g. Joga-Elvira…Roche-Martínez, Brun-Gasca, Am J Med Genet A 2021)</t>
  </si>
  <si>
    <t>Site — ION582 REVEAL; Site — competitor (Aspire, GTX-102 LTE, TANGELO, Aldebaran); Site — Spanish AS Natural History Study NCT06115109 (coordinated by Puerta de Hierro)</t>
  </si>
  <si>
    <t>No (not an ERN ITHACA/EpiCARE HCP per Ministerio de Sanidad list Jan-2026) — regional analogue: XUEC expert unit (Generalitat de Catalunya) since 2017</t>
  </si>
  <si>
    <t>Yes (named ASF Clinic / Unidad de Síndrome de Angelman, paediatric + adult)</t>
  </si>
  <si>
    <t>De facto national ION582 anchor. Fails strict Tier 1 only on P1/P4. REVEAL site PI not publicly named — Dr Roche is the most probable PI (unit head, PI of TANGELO, quoted lead for Aspire) — verify locally before outreach. CTIS: Spain = 2 REVEAL sites, 8 planned subjects; Spanish recruitment start 21-Apr-2026, recruitment end notified 30-Apr-2026. ~6 Aspire patients enrolled (Radio Sabadell, Oct-2025). Also runs fragile-X Phase II (CONNECTA) – trial-ready IT-ASO infrastructure (sedation, LP).
Sources: https://clinicaltrials.gov/study/NCT06914609; https://ctis.eu/trial/2024-519711-33-01; https://angelman.org/wp-content/uploads/2026/04/Ionis-REVEAL-sites-EU_community-letter.pdf; https://angelman.org/asf-clinics/parc-tauli/; https://www.tauli.cat/en/actualitat/noticia/2025/03/el-parc-tauli-primer-centre-assistencial-a-lestat-reconegut-internacionalment-com-a-hospital-expert-en-labordatge-de-la-sindrome-dangelman/; https://www.tauli.cat/institut/actualitat/noticies/2025/09/el-parc-tauli-avaluara-una-nova-terapia-per-a-la-sindrome-dangelman/; https://radiosabadell.fm/salut/parc-tauli-avalua-farmac-nou-tractar-sindrome-angelman; https://www.tauli.cat/en/institut/actualitat/noticies/2023/07/el-parc-tauli-organitza-la-primera-jornada-europea-de-sindrome-dangelman-a-catalunya/; https://cureangelman.es/comite-cientifico; https://ichgcp.net/clinical-trials-registry/NCT06617429; https://ichgcp.net/clinical-trials-registry/NCT06415344; https://ichgcp.net/clinical-trials-registry/NCT04259281; https://ichgcp.net/clinical-trials-registry/NCT04428281; https://forpatients.roche.com/en/trials/neurodevelopmental-disorder/angelman-syndrome/study-to-investigate-the-pharmacokinetics-and-safety-an-84203.html; https://www.orpha.net/pdfs/data/prj/ES/Rch78830_ID154612ES.pdf; https://www.sanidad.gob.es/areas/csur/redesEuropeas/docs/Centros_SNS_que_participan_en_las_ERN..pdf</t>
  </si>
  <si>
    <t>Majadahonda (Madrid)</t>
  </si>
  <si>
    <t>Hospital Universitario Puerta de Hierro Majadahonda (HUPHM) / Instituto de Investigación Sanitaria Puerta de Hierro–Segovia de Arana</t>
  </si>
  <si>
    <t>Unidad de Síndrome de Angelman (since 2012; paediatric + adult) – Neuropediatría, Servicio de Pediatría; Farmacología Clínica; Neurofisiología; Neurología adultos</t>
  </si>
  <si>
    <t>Dra. Belén Ruiz Antorán (clinical pharmacology; NHS coordinator); Dra. Gemma Iglesias Escalera; Dr. Julián Lara Herguedas; Dra. María Lorenzo Ruiz; Dra. M. Rosario Cazorla Calleja (neuropaediatrics); Dr. Luis Fernando López Pájaro (neurophysiology); Dra. Sabela Novo Ponte (adult neurology); Dra. Enriqueta Román Riechmann (Head of Paediatrics)</t>
  </si>
  <si>
    <t>COORDINATOR of the Spanish prospective multicentre AS Natural History Study (FAST España; NCT06115109; PI/contact Dr Ruiz-Antorán); ~125 AS patients assessed (~25% of diagnosed Spanish AS); FAST España scientific-committee core unit; FAST €130k biomarker grant (Dec-2024); recurring national AS publications</t>
  </si>
  <si>
    <t>Yes — disease (Rev Neurol 2021;72(2):51-60 EEG in AS; Rev Neurol 2023;76(7):217-226 AS in adults; Rev Neurol 2024;79(8):223-228 epilepsy/EEG in AS) + Yes — competitor trials (Aspire, GTX-102 Ph1/2 + LTE, alogabat Aldebaran)</t>
  </si>
  <si>
    <t>Coordinator — Spanish AS Natural History Study (NCT06115109); Site — competitor (Aspire NCT06617429, GTX-102 NCT04259281/NCT06415344, Aldebaran NCT05630066). Not a REVEAL site (as of CTIS Oct-2026)</t>
  </si>
  <si>
    <t>No (HUPHM is in ERN GUARD-HEART only; not ITHACA/EpiCARE)</t>
  </si>
  <si>
    <t>Yes (named Unidad de Síndrome de Angelman)</t>
  </si>
  <si>
    <t>Tier-1-equivalent on P2+P3-coordinator but fails strict Tier 1 on P4 (no ITHACA/EpiCARE). Strongest Spanish AS publication + natural-history (RWE/external-control) partner; adult AS expertise (relevant to REVEAL Cohort 2/adult strategy). Priority for any additional Spanish REVEAL/CHAMPION site and for Spanish natural-history external-control data. Heavily exposed to Ultragenyx (Aspire) – consider re-engagement after Aspire Sep-2026 readout.
Sources: https://cureangelman.es/comite-cientifico; https://ichgcp.net/es/clinical-trials-registry/NCT06115109; https://www.orpha.net/es/research-trials/research-projects/628594; https://www.orpha.net/pdfs/data/prj/ES/Rch78830_ID154612ES.pdf; https://cureangelman.es/estudio-de-historia-natural-de-sa; https://dialnet.unirioja.es/servlet/autor?codigo=3719732; https://enpapel.es/sociedad/el-hospital-puerta-de-hierro-cuenta-con-unidades-especializadas-en-el-diagnostico-de-enfermedades-poco-frecuentes/; https://www.consalud.es/autonomias/c-madrid/puerta-hierro-da-paso-en-medicina-futuro-abordar-enfermedad-angelman.html; https://boadilladigital.es/hospital-puerta-de-hierro-sindrome-angelman/; https://cureangelman.es/inicio-de-la-fase-3-del-ensayo-clinico-de-gtx-102-en-sindrome-de-angelman; https://ichgcp.net/clinical-trials-registry/NCT06617429; https://ichgcp.net/clinical-trials-registry/NCT06415344; https://ichgcp.net/clinical-trials-registry/NCT04259281; https://forpatients.roche.com/en/trials/neurodevelopmental-disorder/angelman-syndrome/study-to-investigate-the-pharmacokinetics-and-safety-an-84203.html; https://www.sanidad.gob.es/areas/csur/redesEuropeas/docs/Centros_SNS_que_participan_en_las_ERN..pdf</t>
  </si>
  <si>
    <t>Esplugues de Llobregat (Barcelona)</t>
  </si>
  <si>
    <t>Hospital Sant Joan de Déu Barcelona (SJD)</t>
  </si>
  <si>
    <t>Servicio de Neurología Pediátrica (Pediatric Neurology Department) incl. Epilepsy Programme / ERN EpiCARE coordinating centre</t>
  </si>
  <si>
    <t>Dra. M. Carme Fons Estupiñà (Head, Paediatric Neurology); Prof. Alexis Arzimanoglou (Director Epilepsy Programme; ERN EpiCARE Coordinator); REVEAL site PI: Not publicly identified — verify locally</t>
  </si>
  <si>
    <t>Second Spanish REVEAL site (Pediatric Neurology Dept, CTIS); also Aspire, GTX-102 Ph1/2, TANGELO and Aldebaran site; ERN ITHACA + EpiCARE HCP; coordinating HCP of ERN EpiCARE since Oct-2023; CSUR refractory epilepsy</t>
  </si>
  <si>
    <t>Yes — ION582 trial (REVEAL site) + Yes — competitor trials (Aspire; GTX-102 NCT04259281; TANGELO; Aldebaran). No AS-specific SJD publication identified in this pass</t>
  </si>
  <si>
    <t>Site — ION582 REVEAL; Site — competitor (Aspire, GTX-102 Ph1/2, TANGELO, Aldebaran)</t>
  </si>
  <si>
    <t>Yes — ITHACA+EpiCARE (EpiCARE coordinator)</t>
  </si>
  <si>
    <t>Partial (no named AS clinic; comprehensive neurogenetics/refractory-epilepsy/neurometabolic units)</t>
  </si>
  <si>
    <t>Only Spanish REVEAL site with ERN status → best fit for IT-ASO site readiness and EpiCARE-channel epilepsy education. Would qualify Tier 1 if an SJD AS registry/guideline role emerged. Site PI for REVEAL/Aspire not public — request from Ionis clinical operations.
Sources: https://clinicaltrials.gov/study/NCT06914609; https://ctis.eu/trial/2024-519711-33-01; https://ichgcp.net/clinical-trials-registry/NCT06617429; https://ichgcp.net/clinical-trials-registry/NCT04259281; https://ichgcp.net/clinical-trials-registry/NCT04428281; https://forpatients.roche.com/en/trials/neurodevelopmental-disorder/angelman-syndrome/study-to-investigate-the-pharmacokinetics-and-safety-an-84203.html; https://www.sanidad.gob.es/areas/csur/redesEuropeas/docs/Centros_SNS_que_participan_en_las_ERN..pdf; https://epi-care.eu/ern-epicare-centres/; https://www.sjdhospitalbarcelona.org/en/news/sjd-barcelona-childrens-hospital-coordination-ern-epicare; https://www.sjdhospitalbarcelona.org/es/especialistas/maria-carme-fons-estupina; https://www.sjdhospitalbarcelona.org/es/servicios-asistenciales/neurologia</t>
  </si>
  <si>
    <t>Sevilla</t>
  </si>
  <si>
    <t>Hospital Universitario Virgen del Rocío (HUVR) – Hospital Infantil</t>
  </si>
  <si>
    <t>Unidad de Neurología Pediátrica (Neuropediatría), UGC Pediatría</t>
  </si>
  <si>
    <t>Dra. María Muñoz (Neurología Pediátrica; TANGELO investigator per 2021 report — full name to verify); Dra. Beatriz Muñoz Cabello (Jefa de Sección de Neuropediatría)</t>
  </si>
  <si>
    <t>Competitor-trial site: TANGELO (rugonersen, Ph1) and Aspire (GTX-102, Ph3); largest Andalusian hospital; CSUR movement disorders; multiple ERNs (ERN-RND, EURO-NMD, MetabERN)</t>
  </si>
  <si>
    <t>Yes — competitor trials (TANGELO NCT04428281; Aspire NCT06617429). No AS publications identified</t>
  </si>
  <si>
    <t>Site — competitor (TANGELO, Aspire)</t>
  </si>
  <si>
    <t>No (ERN-RND/EURO-NMD/MetabERN member, not ITHACA/EpiCARE)</t>
  </si>
  <si>
    <t>Partial (neuropaediatrics; CSUR rare movement disorders)</t>
  </si>
  <si>
    <t>Southern-Spain access gap: FAST España publicly criticised HUVR (Jan-2023) for not joining two AS trials for staffing reasons; later became Aspire site. Candidate for future ION582 (CHAMPION/expanded) site to cover Andalucía (~200 AS patients estimated, 94 diagnosed in 2021).
Sources: https://ichgcp.net/clinical-trials-registry/NCT06617429; https://ichgcp.net/clinical-trials-registry/NCT04428281; https://forpatients.roche.com/en/trials/neurodevelopmental-disorder/angelman-syndrome/a-study-to-investigate-the-safety--tolerability--pharma-19556.html; https://www.canalsur.es/noticias/andalucia/huelva/buscan-tratamiento-sindrome-angelman_1_1141518.html; https://elcorreoweb.es/salud/2023/01/04/cataluna-gana-carrera-andalucia-enfermedad-104477177.html; https://hospitaluvrocio.es/historico-noticias/beatriz-munoz-cabello-nueva-jefa-de-seccion-facultativa-de-neuropediatria/; https://www.orpha.net/es/institutions/professional-or-legal-entity/689817; https://hospitaluvrocio.es/unidad/pediatria/; https://www.sanidad.gob.es/areas/csur/redesEuropeas/docs/Centros_SNS_que_participan_en_las_ERN..pdf</t>
  </si>
  <si>
    <t>Pamplona</t>
  </si>
  <si>
    <t>Hospital Universitario de Navarra (HUN) / Navarrabiomed</t>
  </si>
  <si>
    <t>Unidad de Neuropediatría y Patología Crónica Compleja, Servicio de Pediatría; Navarrabiomed Paediatric Neurology research group</t>
  </si>
  <si>
    <t>Dr. Sergio Aguilera Albesa (Head, Paediatric Neurology unit/group; Aldebaran site PI not publicly confirmed)</t>
  </si>
  <si>
    <t>Competitor-trial site: alogabat Phase IIa Aldebaran (Roche, NCT05630066) – 'Unidad de Neuropediatría'</t>
  </si>
  <si>
    <t>Yes — competitor trial (Aldebaran NCT05630066). No AS publications identified</t>
  </si>
  <si>
    <t>Site — competitor (Aldebaran)</t>
  </si>
  <si>
    <t>Partial (neuropaediatrics; refractory epilepsy clinic)</t>
  </si>
  <si>
    <t>Tier 2 by rule (P3 trial site) but low AS volume expected; regional (Navarra/North) referral option; refractory-epilepsy expertise.
Sources: https://forpatients.roche.com/en/trials/neurodevelopmental-disorder/angelman-syndrome/study-to-investigate-the-pharmacokinetics-and-safety-an-84203.html; https://www.navarrabiomed.es/en/directorio/aguilera-albesa-0; https://www.unavarra.es/pdi/?uid=812830&amp;dato=descripcion&amp;languageId=100000; https://epiforward360.com/ponente/sergio-aguilera/</t>
  </si>
  <si>
    <t>Barcelona</t>
  </si>
  <si>
    <t>Hospital Universitari Vall d'Hebron</t>
  </si>
  <si>
    <t>Neuropediatría / Genética Clínica (Vall d'Hebron Barcelona Hospital Campus)</t>
  </si>
  <si>
    <t>Tertiary university/reference hospital with paediatric neurology/genetics infrastructure; no AS trial-site, AS registry or AS publication signal identified</t>
  </si>
  <si>
    <t>Yes — ITHACA (also ERN-RND, MetabERN, EURO-NMD)</t>
  </si>
  <si>
    <t>Partial (genetic NDD/ID expertise as ITHACA HCP; no named AS clinic found)</t>
  </si>
  <si>
    <t>ERN ITHACA HCP (1 of 3 in Spain). On strict P4+P5 reading could be argued Tier 2, but no AS trial site or AS publication found → Tier 3. Large paediatric + adult rare-disease campus; key for adult AS transition in Catalonia.
Sources: https://www.sanidad.gob.es/areas/csur/redesEuropeas/docs/Centros_SNS_que_participan_en_las_ERN..pdf</t>
  </si>
  <si>
    <t>Madrid</t>
  </si>
  <si>
    <t>Hospital Universitario La Paz (incl. INGEMM – Instituto de Genética Médica y Molecular)</t>
  </si>
  <si>
    <t>Neuropediatría / INGEMM clinical &amp; molecular genetics</t>
  </si>
  <si>
    <t>Yes — ITHACA (also ERN-RND, BOND, ERNICA)</t>
  </si>
  <si>
    <t>Partial (ITHACA HCP; genetics/imprinting diagnostics; no named AS clinic found)</t>
  </si>
  <si>
    <t>ERN ITHACA HCP. No AS trial or recent AS paper found in this pass → Tier 3; verify INGEMM imprinting-disorder activity (AS methylation diagnostics) locally.
Sources: https://www.sanidad.gob.es/areas/csur/redesEuropeas/docs/Centros_SNS_que_participan_en_las_ERN..pdf</t>
  </si>
  <si>
    <t>Hospital Clínic de Barcelona</t>
  </si>
  <si>
    <t>Epilepsy Unit (adult) — joint EpiCARE HCP with SJD</t>
  </si>
  <si>
    <t>Yes — EpiCARE (joint with SJD)</t>
  </si>
  <si>
    <t>Partial (adult refractory epilepsy CSUR)</t>
  </si>
  <si>
    <t>Adult epilepsy partner of SJD; relevant to REVEAL Cohort 2 (adults ≤50 y) transition and adult AS seizure care.
Sources: https://www.sanidad.gob.es/areas/csur/redesEuropeas/docs/Centros_SNS_que_participan_en_las_ERN..pdf; https://epi-care.eu/ern-epicare-centres/</t>
  </si>
  <si>
    <t>Hospital del Mar (Parc de Salut Mar)</t>
  </si>
  <si>
    <t>Epilepsy Unit (CSUR refractory epilepsy)</t>
  </si>
  <si>
    <t>Partial (adult refractory epilepsy)</t>
  </si>
  <si>
    <t>EpiCARE HCP; adult epilepsy. Hospital del Mar Research Institute is co-site with Parc Taulí for a fragile-X Phase II (not AS).
Sources: https://www.sanidad.gob.es/areas/csur/redesEuropeas/docs/Centros_SNS_que_participan_en_las_ERN..pdf; https://epi-care.eu/ern-epicare-centres/</t>
  </si>
  <si>
    <t>Valencia</t>
  </si>
  <si>
    <t>Hospital Universitari i Politècnic La Fe</t>
  </si>
  <si>
    <t>Neuropediatría / Unidad de Epilepsia (CSUR refractory epilepsy)</t>
  </si>
  <si>
    <t>EpiCARE HCP; main reference for Comunitat Valenciana. No AS trial/publication found.
Sources: https://www.sanidad.gob.es/areas/csur/redesEuropeas/docs/Centros_SNS_que_participan_en_las_ERN..pdf; https://epi-care.eu/ern-epicare-centres/</t>
  </si>
  <si>
    <t>Hospital Universitario 12 de Octubre</t>
  </si>
  <si>
    <t>Neuropediatría / Genética</t>
  </si>
  <si>
    <t>No (MetabERN, ReCONNET, CRANIO, ERKNet, LUNG, eUROGEN only)</t>
  </si>
  <si>
    <t>Partial (tertiary paediatric neurology/genetics)</t>
  </si>
  <si>
    <t>Large university hospital; tertiary infrastructure, not AS-research-active.
Sources: https://www.sanidad.gob.es/areas/csur/redesEuropeas/docs/Centros_SNS_que_participan_en_las_ERN..pdf</t>
  </si>
  <si>
    <t>Hospital General Universitario Gregorio Marañón</t>
  </si>
  <si>
    <t>No (ERN-RND, EuroBloodNet, TransplantChild, GUARD-HEART)</t>
  </si>
  <si>
    <t>Large university hospital; ERN-RND member (rare neurological diseases).
Sources: https://www.sanidad.gob.es/areas/csur/redesEuropeas/docs/Centros_SNS_que_participan_en_las_ERN..pdf</t>
  </si>
  <si>
    <t>Hospital Infantil Universitario Niño Jesús</t>
  </si>
  <si>
    <t>Neurología Pediátrica</t>
  </si>
  <si>
    <t>No (TransplantChild only)</t>
  </si>
  <si>
    <t>Partial (dedicated children's hospital, paediatric neurology/epilepsy)</t>
  </si>
  <si>
    <t>Monographic children's hospital; no AS trial/publication found.
Sources: https://www.sanidad.gob.es/areas/csur/redesEuropeas/docs/Centros_SNS_que_participan_en_las_ERN..pdf</t>
  </si>
  <si>
    <t>Barakaldo (Bizkaia)</t>
  </si>
  <si>
    <t>Hospital Universitario Cruces</t>
  </si>
  <si>
    <t>No (MetabERN, Endo-ERN, ERN-EYE, eUROGEN)</t>
  </si>
  <si>
    <t>Basque reference hospital; near UPV/EHU AS basic-science group (Dr Ugo Mayor) – potential translational link.
Sources: https://www.sanidad.gob.es/areas/csur/redesEuropeas/docs/Centros_SNS_que_participan_en_las_ERN..pdf</t>
  </si>
  <si>
    <t>Santiago de Compostela</t>
  </si>
  <si>
    <t>Complexo Hospitalario Universitario de Santiago (CHUS)</t>
  </si>
  <si>
    <t>No (MetabERN)</t>
  </si>
  <si>
    <t>Galician reference hospital; no AS trial/publication found.
Sources: https://www.sanidad.gob.es/areas/csur/redesEuropeas/docs/Centros_SNS_que_participan_en_las_ERN..pdf</t>
  </si>
  <si>
    <t>Murcia</t>
  </si>
  <si>
    <t>Hospital Clínico Universitario Virgen de la Arrixaca</t>
  </si>
  <si>
    <t>No (BOND, GUARD-HEART)</t>
  </si>
  <si>
    <t>Regional reference hospital (Murcia).
Sources: https://www.sanidad.gob.es/areas/csur/redesEuropeas/docs/Centros_SNS_que_participan_en_las_ERN..pdf</t>
  </si>
  <si>
    <t>Badalona (Barcelona)</t>
  </si>
  <si>
    <t>Hospital Universitari Germans Trias i Pujol</t>
  </si>
  <si>
    <t>Neuropediatría / Genètica</t>
  </si>
  <si>
    <t>No (GENTURIS)</t>
  </si>
  <si>
    <t>Catalan university hospital; tertiary capable.
Sources: https://www.sanidad.gob.es/areas/csur/redesEuropeas/docs/Centros_SNS_que_participan_en_las_ERN..pdf</t>
  </si>
  <si>
    <t>United Kingdom</t>
  </si>
  <si>
    <t>Oxford</t>
  </si>
  <si>
    <t>Oxford University Hospitals NHS Foundation Trust (John Radcliffe Hospital / Oxford Children's Hospital) with University of Oxford Department of Paediatrics</t>
  </si>
  <si>
    <t>STRONG group (Specialised Translational Research Oxford Neuromuscular Group, MDUK Oxford Neuromuscular Centre) + NIHR Oxford paediatric CRF; Oxford clinical genetics (OUH)</t>
  </si>
  <si>
    <t>Prof Laurent Servais (CI, Oxford AS Natural History Study; UK contact GTX-102 Ph1/2); Dr Usha Kini (PI, Oxford AS Natural History Study; Consultant Clinical Geneticist)</t>
  </si>
  <si>
    <t>Only UK centre active across ION582 HALOS (Ph1/2) + ION582 REVEAL (Ph3) + GTX-102 Ph1/2; coordinates the FAST UK-funded Oxford AS Natural History Study (n=40 + carers) — the UK's national AS natural-history cohort</t>
  </si>
  <si>
    <t>Yes — ION582 trial investigator-site role (HALOS NCT05127226 'STRONG Group University of Oxford'; REVEAL NCT06914609 John Radcliffe) + competitor trial site (GTX-102 NCT04259281; UK HRA contact L. Servais). No 2021–2026 Oxford-affiliated AS peer-reviewed PMID verified (natural-history outputs not yet located) — P2 rests on trial-investigator role, not authorship</t>
  </si>
  <si>
    <t>Coordinator — Oxford AS Natural History Study (FAST UK); Site — ION582 REVEAL &amp; HALOS; Site — competitor (GTX-102 Ph1/2)</t>
  </si>
  <si>
    <t>N/A (post-Brexit) — national analogue: NIHR-supported paediatric CRF (Servais = Academic Director) + OUH regional clinical genetics service</t>
  </si>
  <si>
    <t>Partial (translational paediatric neurology/neuromuscular trials unit + clinical genetics; no named AS clinic)</t>
  </si>
  <si>
    <t>Tiered on national signal per post-Brexit rule: P3 national coordinator + national-equivalent infrastructure + ION582/competitor trial footprint = Tier 1. Primary ION582 evidence-partner and IT-ASO site-readiness anchor (intrathecal dosing experience from HALOS/REVEAL and SMA nusinersen trials). Individual REVEAL/HALOS site PI not published on ClinicalTrials.gov — confirm with Ionis. Oxford natural-history peer-reviewed outputs not located in this pass. Follow-up check (14-Oct-2026): Tier 1 retained — P2 satisfied via ION582/competitor investigator-site role per brief definition; authorship-based P2 unconfirmed.
Sources: https://clinicaltrials.gov/study/NCT06914609; https://eichor.com/study/NCT05127226; https://clinicaltrials.gov/study/NCT04259281; https://www.hra.nhs.uk/planning-and-improving-research/application-summaries/research-summaries/a-phase-12-study-of-gtx-102-in-paediatric-patients-with-as/; https://cureangelman.org.uk/our-work/oxford-natural-history-study/; https://strong.paediatrics.ox.ac.uk/our-team/laurent-servais; https://strong.paediatrics.ox.ac.uk/about</t>
  </si>
  <si>
    <t>Birmingham</t>
  </si>
  <si>
    <t>University of Birmingham — Cerebra Centre for Neurodevelopmental Disorders (School of Psychology) with Birmingham Women's and Children's NHS FT (Forward Thinking Birmingham)</t>
  </si>
  <si>
    <t>Behavioural phenotype / sleep research in genetic syndromes (incl. AS); links to Aston University (Waite)</t>
  </si>
  <si>
    <t>Prof Chris Oliver; Prof Caroline Richards; Dr Mary Heald; Andrew Surtees; Dr Jayne Trickett (now Leicester)</t>
  </si>
  <si>
    <t>UK's principal AS behavioural-phenotype and sleep research group (AS sleep actigraphy case-control 2019; AS genetic-subgroup social-motivation 2021); cited in UK AS guideline behaviour section</t>
  </si>
  <si>
    <t>No (cited in, not author of, UK guideline)</t>
  </si>
  <si>
    <t>Yes — disease (Heald…Oliver Front Behav Neurosci 2021;15:618271, PMID 33664655; Trickett…Gringras, Richards Front Psychiatry 2019;10:874, PMID 31849727)</t>
  </si>
  <si>
    <t>N/A (post-Brexit) — national analogue: academic research centre linked to BWC regional children's services</t>
  </si>
  <si>
    <t>Partial (neurodevelopmental-disorder behaviour/sleep research programme; not a clinical AS clinic)</t>
  </si>
  <si>
    <t>Tier 2 on recurring national P2 (post-Brexit rule) despite no trial-site role; value = COA/outcome-measure, behaviour &amp; sleep endpoints, caregiver-burden evidence. Non-physician (psychology) KOLs. Birmingham Children's Hospital neurology itself not AS-research-active.
Sources: https://pmc.ncbi.nlm.nih.gov/articles/PMC7921159/; https://research.birmingham.ac.uk/en/publications/multi-method-assessment-of-sleep-in-children-with-angelman-syndro/; https://doaj.org/article/6fdb3ab1e55c4c2f9932c00ad98c1c89; https://scholar.google.com/citations?user=uDVDrEwAAAAJ&amp;hl=en; https://bwc.nhs.uk/neurology</t>
  </si>
  <si>
    <t>Cambridge</t>
  </si>
  <si>
    <t>Cambridge University Hospitals NHS Foundation Trust (Addenbrooke's)</t>
  </si>
  <si>
    <t>Paediatric neurology / clinical research (exact unit not public)</t>
  </si>
  <si>
    <t>Former GTX-102 (apazunersen) Phase 1/2 site (NCT04259281, completed Jan-2025); HRA Cambridge South REC approved GTX-102 Aurora (CL210) Oct-2025</t>
  </si>
  <si>
    <t>Yes — competitor trial site (GTX-102 Ph1/2); no named AS publications verified</t>
  </si>
  <si>
    <t>Site — competitor (GTX-102 Ph1/2)</t>
  </si>
  <si>
    <t>N/A (post-Brexit) — national analogue: East of England regional genetics/paediatric neuroscience centre</t>
  </si>
  <si>
    <t>No (no named AS programme found)</t>
  </si>
  <si>
    <t>Displaceable competitor-trial site: IT-ASO experienced; Aspire failed primary endpoint (Sep-2026) → potential redeployment to REVEAL Cohort 2 / CHAMPION. Aurora UK site list not public.
Sources: https://clinicaltrials.gov/study/NCT04259281; https://www.hra.nhs.uk/planning-and-improving-research/application-summaries/research-summaries/phase-2-study-of-gtx-102-in-subjects-with-deletion-or-nondeletion-type-angelman-syndrome/; https://ir.ultragenyx.com/news-releases/news-release-details/ultragenyx-announces-phase-3-aspire-results-angelman-syndrome</t>
  </si>
  <si>
    <t>London</t>
  </si>
  <si>
    <t>Great Ormond Street Hospital for Children NHS Foundation Trust (with UCL Great Ormond Street Institute of Child Health)</t>
  </si>
  <si>
    <t>NIHR GOSH Clinical Research Facility; paediatric neurology / clinical genetics (exact AS trial unit not public)</t>
  </si>
  <si>
    <t>Not publicly identified — verify locally (REVEAL &amp; GTX-102 site PIs not listed on ClinicalTrials.gov); Hayley Denyer (UCL GOS ICH, AS sleep co-author — researcher)</t>
  </si>
  <si>
    <t>ION582 REVEAL Phase 3 site (WC1N 3JH) and former GTX-102 Phase 1/2 site; national tertiary paediatric centre with early-phase CRF</t>
  </si>
  <si>
    <t>Yes — ION582 trial site (REVEAL) + competitor trial site (GTX-102 Ph1/2); named-author AS publications not verified</t>
  </si>
  <si>
    <t>Site — ION582 REVEAL; Site — competitor (GTX-102 NCT04259281)</t>
  </si>
  <si>
    <t>N/A (post-Brexit) — national analogue: national highly specialised paediatric tertiary centre + NIHR GOSH BRC/CRF</t>
  </si>
  <si>
    <t>Partial (paediatric neurology/genetics/epilepsy; no named AS clinic found)</t>
  </si>
  <si>
    <t>Tier 2 as P3 site with full specialist/IT-procedure infrastructure. Highest-priority gap: identify GOSH REVEAL PI via Ionis/site list before outreach.
Sources: https://clinicaltrials.gov/study/NCT06914609; https://clinicaltrials.gov/study/NCT04259281; https://www.gosh.nhs.uk/our-research/nihr-gosh-clinical-research-facility/; https://doaj.org/article/6fdb3ab1e55c4c2f9932c00ad98c1c89</t>
  </si>
  <si>
    <t>Manchester</t>
  </si>
  <si>
    <t>Manchester University NHS Foundation Trust — Saint Mary's Hospital</t>
  </si>
  <si>
    <t>Manchester Centre for Genomic Medicine (MCGM) / Manchester Rare Conditions Centre — multidisciplinary Angelman Syndrome Clinic (children &amp; adults; run with AngelmanUK/ASSERT)</t>
  </si>
  <si>
    <t>Prof Jill Clayton-Smith (founder, AS guideline lead); Dr Catherine Breen (Clinic Lead); Prof Siddharth Banka; Dr Dan Hindley (paediatric epilepsy/neurodisability); Dr Jane Waite (clinical psychologist); Jenny Pemberton (SLT)</t>
  </si>
  <si>
    <t>UK's only specialist AS clinic (AngelmanUK-supported, national referrals, every 6 months); lead-author centre of the European/UK 'Angelman Syndrome Clinical Management Guidelines' (DYSCERNE, Manchester 2009); hosts Angelman Syndrome Register; MCGM founded ERN ITHACA pre-Brexit</t>
  </si>
  <si>
    <t>Yes — national/European guideline (Angelman Syndrome Clinical Management Guidelines, DYSCERNE 2009; Clayton-Smith J first author) — dated; Intl consensus 2022 (Duis) = No UK authors</t>
  </si>
  <si>
    <t>Not confirmed for 2021–2026 — no Manchester-affiliated AS PMID 2021–2026 verified (live PubMed/E-utilities unreachable; web search found only historic output, e.g. Clayton-Smith &amp; Laan J Med Genet 2003;40:87). Not an ION582/competitor trial site</t>
  </si>
  <si>
    <t>Coordinator — Manchester Angelman Syndrome Register (national clinic-based register; size not public); not an ION582/competitor trial site</t>
  </si>
  <si>
    <t>N/A (post-Brexit) — national analogue: NW regional clinical genetics service (MCGM) + Manchester Rare Conditions Centre; MCGM was ERN ITHACA founding/coordinating HCP pre-Brexit</t>
  </si>
  <si>
    <t>Yes — named multidisciplinary Angelman Syndrome Clinic</t>
  </si>
  <si>
    <t>DOWNGRADED Tier 1 → Tier 2 (provisional) on follow-up: Tier 1 requires recent P2 (≤~5 y), which could not be verified. Retains P1 (2009 guideline lead centre), P3 (Manchester AS Register) and P5 (UK's only specialist AS clinic) → strong Tier 2 national-referral hub; re-upgrade to Tier 1 if a PubMed author search (Clayton-Smith J / Banka S / Breen C + Angelman, 2021–2026) confirms. Key advisory-board and patient-pathway anchor; candidate REVEAL Cohort 2 / CHAMPION (UPD/ID) referral or site. Clayton-Smith no longer on current MCGM consultant list — see flags.
Sources: https://www.mrcc.org.uk/clinical-diagnostics/other-specialist-clinical-services/angelman-syndrome-clinic/; https://www.mangen.co.uk/specialist-clinics/developmental-disorders/angelman-syndrome/; https://www.mangen.co.uk/healthcare-professionals/clinical-genomic-services/developmental-disorders/; https://www.angelmanuk.org/support/clinic/; https://www.angelmanuk.org/about/experts/; https://difusion.ulb.ac.be/vufind/Record/ULB-DIPOT:oai:dipot.ulb.ac.be:2013/185831/Details; https://citycollegelibrary.org/wp-content/uploads/2025/12/263_Angelman_Guidelines.pdf; https://jmg.bmj.com/content/40/2/87</t>
  </si>
  <si>
    <t>Belfast</t>
  </si>
  <si>
    <t>Royal Belfast Hospital for Sick Children (Belfast HSC Trust)</t>
  </si>
  <si>
    <t>Paediatric neurology / epilepsy + regional clinical genetics</t>
  </si>
  <si>
    <t>Large regional/national paediatric tertiary centre with neurology, epilepsy, EEG, anaesthesia/sedation for LP; no AS-specific research, trial or clinic signal found</t>
  </si>
  <si>
    <t>No (none identified)</t>
  </si>
  <si>
    <t>N/A (post-Brexit) — national analogue: regional paediatric neuroscience + clinical genetics service</t>
  </si>
  <si>
    <t>Tier 3 — launch-phase distribution/HCP education; potential IT-administration hub post-approval; devolved-nation centre where applicable (Scotland/Wales/NI: separate HTA/commissioning — SMC/AWMSG/NI).
Sources: https://belfasttrust.hscni.net/</t>
  </si>
  <si>
    <t>Bristol</t>
  </si>
  <si>
    <t>Bristol Royal Hospital for Children (University Hospitals Bristol and Weston NHS FT)</t>
  </si>
  <si>
    <t>Tier 3 — launch-phase distribution/HCP education; potential IT-administration hub post-approval; devolved-nation centre where applicable (Scotland/Wales/NI: separate HTA/commissioning — SMC/AWMSG/NI).
Sources: https://www.uhbw.nhs.uk/</t>
  </si>
  <si>
    <t>Cardiff</t>
  </si>
  <si>
    <t>Noah's Ark Children's Hospital for Wales (Cardiff and Vale UHB)</t>
  </si>
  <si>
    <t>Tier 3 — launch-phase distribution/HCP education; potential IT-administration hub post-approval; devolved-nation centre where applicable (Scotland/Wales/NI: separate HTA/commissioning — SMC/AWMSG/NI).
Sources: https://cavuhb.nhs.wales/</t>
  </si>
  <si>
    <t>Edinburgh</t>
  </si>
  <si>
    <t>Royal Hospital for Children and Young People, Edinburgh (NHS Lothian)</t>
  </si>
  <si>
    <t>Tier 3 — launch-phase distribution/HCP education; potential IT-administration hub post-approval; devolved-nation centre where applicable (Scotland/Wales/NI: separate HTA/commissioning — SMC/AWMSG/NI).
Sources: https://services.nhslothian.scot/</t>
  </si>
  <si>
    <t>Glasgow</t>
  </si>
  <si>
    <t>Royal Hospital for Children, Glasgow (NHS Greater Glasgow and Clyde)</t>
  </si>
  <si>
    <t>Tier 3 — launch-phase distribution/HCP education; potential IT-administration hub post-approval; devolved-nation centre where applicable (Scotland/Wales/NI: separate HTA/commissioning — SMC/AWMSG/NI).
Sources: https://www.nhsggc.scot/</t>
  </si>
  <si>
    <t>Leeds</t>
  </si>
  <si>
    <t>Leeds Children's Hospital (Leeds Teaching Hospitals NHS Trust)</t>
  </si>
  <si>
    <t>Tier 3 — launch-phase distribution/HCP education; potential IT-administration hub post-approval; devolved-nation centre where applicable (Scotland/Wales/NI: separate HTA/commissioning — SMC/AWMSG/NI).
Sources: https://www.leedsth.nhs.uk/</t>
  </si>
  <si>
    <t>Liverpool</t>
  </si>
  <si>
    <t>Alder Hey Children's NHS Foundation Trust</t>
  </si>
  <si>
    <t>Tier 3 — launch-phase distribution/HCP education; potential IT-administration hub post-approval; devolved-nation centre where applicable (Scotland/Wales/NI: separate HTA/commissioning — SMC/AWMSG/NI).
Sources: https://www.alderhey.nhs.uk/</t>
  </si>
  <si>
    <t>Evelina London Children's Hospital (Guy's and St Thomas' NHS FT)</t>
  </si>
  <si>
    <t>Evelina London Children's Sleep Medicine Department; paediatric neurosciences</t>
  </si>
  <si>
    <t>Prof Paul Gringras (sleep medicine; AS sleep co-author 2019)</t>
  </si>
  <si>
    <t>National paediatric sleep-medicine referral centre; co-authored largest objective AS sleep dataset (2019)</t>
  </si>
  <si>
    <t>Yes — disease (qualified: single 2019 co-authorship, outside 2021–26 window)</t>
  </si>
  <si>
    <t>N/A (post-Brexit)</t>
  </si>
  <si>
    <t>Partial (paediatric sleep medicine)</t>
  </si>
  <si>
    <t>Tier 3: tertiary capable; sleep-endpoint expertise relevant to REVEAL secondary outcomes. Verify current Gringras role.
Sources: https://colab.ws/articles/10.3389%2Ffpsyt.2019.00874; https://research.birmingham.ac.uk/en/publications/multi-method-assessment-of-sleep-in-children-with-angelman-syndro/</t>
  </si>
  <si>
    <t>Newcastle upon Tyne</t>
  </si>
  <si>
    <t>Great North Children's Hospital (Newcastle upon Tyne Hospitals NHS FT)</t>
  </si>
  <si>
    <t>Tier 3 — launch-phase distribution/HCP education; potential IT-administration hub post-approval; devolved-nation centre where applicable (Scotland/Wales/NI: separate HTA/commissioning — SMC/AWMSG/NI).
Sources: https://www.newcastle-hospitals.nhs.uk/</t>
  </si>
  <si>
    <t>Sheffield</t>
  </si>
  <si>
    <t>Sheffield Children's NHS Foundation Trust (Ryegate Children's Centre neurology)</t>
  </si>
  <si>
    <t>Tier 3 — launch-phase distribution/HCP education; potential IT-administration hub post-approval; devolved-nation centre where applicable (Scotland/Wales/NI: separate HTA/commissioning — SMC/AWMSG/NI).
Sources: https://www.sheffieldchildrens.nhs.uk/services/neurology/</t>
  </si>
  <si>
    <t>Southampton</t>
  </si>
  <si>
    <t>University Hospital Southampton NHS FT — Princess Anne Hospital</t>
  </si>
  <si>
    <t>Wessex Clinical Genetics Service (and Wessex congenital anomaly registry linkage via EUROCAT/EUROlinkCAT)</t>
  </si>
  <si>
    <t>Dr Diana Gay Wellesley (Consultant Clinical Geneticist); Prof Joan K Morris (City St George's, University of London — epidemiology collaborator, last author)</t>
  </si>
  <si>
    <t>UK co-author of 2025 European population-based AS/PWS health-outcomes study (EUROlinkCAT)</t>
  </si>
  <si>
    <t>Yes — disease (Abate MV…Wellesley DG, Morris JK. Arch Dis Child 2025;110(11):899-904; doi:10.1136/archdischild-2025-328786; PMID 40484454) — epidemiology, single paper</t>
  </si>
  <si>
    <t>No (congenital-anomaly registry linkage, not an AS registry/trial site)</t>
  </si>
  <si>
    <t>N/A (post-Brexit) — national analogue: Wessex regional clinical genetics service</t>
  </si>
  <si>
    <t>Partial (regional clinical genetics)</t>
  </si>
  <si>
    <t>Tier 3: tertiary capable; RWE/epidemiology value (registry-linked healthcare-utilisation data for AS) rather than trial readiness.
Sources: https://adc.bmj.com/content/110/11/899; https://pure.ulster.ac.uk/ws/portalfiles/portal/221906804/Prader-Willi_Angelman_syndrome_-_accepted_version.pdf</t>
  </si>
  <si>
    <t>KOL_Roster — named Angelman syndrome KOLs, EU4+UK (scored per template §3; Tier 1 = 24–30, Tier 2 = 12–23, Tier 3 = 0–11)</t>
  </si>
  <si>
    <t>KOL</t>
  </si>
  <si>
    <t>Primary affiliation</t>
  </si>
  <si>
    <t>Role/Signal</t>
  </si>
  <si>
    <t>P1 guideline author</t>
  </si>
  <si>
    <t>P3 registry role</t>
  </si>
  <si>
    <t>Key publications/datasets (P2)</t>
  </si>
  <si>
    <t>Presentation at international conferences</t>
  </si>
  <si>
    <t>KOL Tier for TOV</t>
  </si>
  <si>
    <t>Score — Guideline authorship</t>
  </si>
  <si>
    <t>Score — Publications</t>
  </si>
  <si>
    <t>Score — Clinical trials</t>
  </si>
  <si>
    <t>Score — Academic appointment</t>
  </si>
  <si>
    <t>Score — Society roles</t>
  </si>
  <si>
    <t>Score — Speaker engagement</t>
  </si>
  <si>
    <t>Score — Awards</t>
  </si>
  <si>
    <t>Total score</t>
  </si>
  <si>
    <t>Sources</t>
  </si>
  <si>
    <t>Dr Delphine Héron</t>
  </si>
  <si>
    <t>AP-HP Pitié-Salpêtrière (Sorbonne Université), Génétique clinique; coordinator CRMR DI de causes rares (DéfiScience)</t>
  </si>
  <si>
    <t>PNDS Syndrome d'Angelman coordinator (2021); national CRMR DI coordinator; ITHACA Paris consortium; AFSA CMS member</t>
  </si>
  <si>
    <t>Yes — PNDS Angelman 2021 (coordinator)</t>
  </si>
  <si>
    <t>No (no FR REVEAL/Aspire site)</t>
  </si>
  <si>
    <t>PNDS + argumentaire Syndrome d'Angelman (HAS, Nov 2021). Peer-reviewed AS papers 2021–26 not verified in this pass.</t>
  </si>
  <si>
    <t>Not identified in this pass — verify (ASA/ASF/FAST congress programmes)</t>
  </si>
  <si>
    <t>TIER 2 — engage (national anchor; first-wave advisory-board lead despite score)</t>
  </si>
  <si>
    <t>https://www.has-sante.fr/upload/docs/application/pdf/2021-11/pnds_angelman_vf_.doc.pdf; https://www.has-sante.fr/upload/docs/application/pdf/2021-11/argumentaire_pnds_angelman_vf.pdf; https://ern-ithaca.eu/about-us/expert-centers/ern-ithaca-paris-center-robert-debre-university-hospital/; https://www.angelman-afsa.org/afsa/son-equipe/conseil-medical-et-scientifique/afsa/son-equipe/conseil-medical-et-scientifique/le-conseil-medical-et-scientifique</t>
  </si>
  <si>
    <t>Pr Rima Nabbout</t>
  </si>
  <si>
    <t>AP-HP Necker-Enfants Malades / Institut Imagine — CRéER (rare epilepsies)</t>
  </si>
  <si>
    <t>EpiCARE HCP coordinator &amp; founding steering member; chairs BNDMR scientific committee; PI of international/industry rare-epilepsy trials</t>
  </si>
  <si>
    <t>No (AS)</t>
  </si>
  <si>
    <t>BNDMR scientific-committee chair (national rare-disease database, not AS-specific); No (no FR REVEAL/Aspire site)</t>
  </si>
  <si>
    <t>Rare/developmental-epilepsy output (e.g., KCNT1, fenfluramine DEE reviews listed on Imagine profile); AS-specific papers not verified</t>
  </si>
  <si>
    <t>ILAE working groups — specific oral presentations to verify</t>
  </si>
  <si>
    <t>TIER 2 — high value — epilepsy/trial-readiness anchor (not AS-specific)</t>
  </si>
  <si>
    <t>https://www.institutimagine.org/en/users/rimanabboutaphpfr; https://epi-care.eu/hospitals/necker-enfants-malades-aphp/; https://maladiesrares-necker.aphp.fr/rare-epilepsies/</t>
  </si>
  <si>
    <t>Dr Nadia Bahi-Buisson</t>
  </si>
  <si>
    <t>AP-HP Necker-Enfants Malades — Neurologie pédiatrique</t>
  </si>
  <si>
    <t>Coordinating investigator in France for obudanersen HALOS (ION582-CS1, Necker); coordinating investigator for GTX-102 Ph2 basket (GTX-102-CL210); ERN ITHACA Paris consortium (DéfiScience axis)</t>
  </si>
  <si>
    <t>Site — ION582 HALOS (FR coordinating investigator); Site — competitor (GTX-102 CL210 coordinator; CL302 LTE recruiting at Necker)</t>
  </si>
  <si>
    <t>Investigator/PI roles: HALOS NCT05127226 (ION582-CS1, FR coordinating investigator); GTX-102-CL210 Ph2 basket (FR coordinating investigator). AS peer-reviewed papers not verified (PubMed check pending).</t>
  </si>
  <si>
    <t>TIER 2 — must-engage (ION582-specific) — HALOS investigator; also competitor-trial PI</t>
  </si>
  <si>
    <t>https://www.aphp.fr/registre-des-essais-cliniques/etude-visant-evaluer-la-securite-la-tolerance-la-pharmacocinetique-et; https://www.aphp.fr/registre-des-essais-cliniques/etude-en-ouvert-de-phase-2-de-type-panier-visant-evaluer-linnocuite; https://ern-ithaca.eu/about-us/expert-centers/ern-ithaca-paris-center-robert-debre-university-hospital/</t>
  </si>
  <si>
    <t>Pr Alain Verloes</t>
  </si>
  <si>
    <t>AP-HP Robert-Debré — Head, Clinical Genetics Department; CLAD-IDF coordinator</t>
  </si>
  <si>
    <t>ERN ITHACA EU coordinator (since 2018)</t>
  </si>
  <si>
    <t>AS-specific output not verified (verify PubMed)</t>
  </si>
  <si>
    <t>ERN ITHACA/ESHG meetings — verify specific talks</t>
  </si>
  <si>
    <t>TIER 2 — engage (ERN network gateway)</t>
  </si>
  <si>
    <t>https://ern-ithaca.eu/about-us/who-we-are/; https://ern-ithaca.eu/about-us/expert-centers/ern-ithaca-paris-center-robert-debre-university-hospital/; https://robertdebre.aphp.fr/centre-de-reference-des-anomalies-du-developpement-syndromes-malformatif-dile-de-france</t>
  </si>
  <si>
    <t>Pr Mathieu Milh</t>
  </si>
  <si>
    <t>AP-HM La Timone Enfants — Neurologie pédiatrique</t>
  </si>
  <si>
    <t>Heads national reference centres for rare epilepsies (CRéER coordinator) and rare severe developmental disorders; national coordinating investigator, GTX-102 LTE (GTX-102-CL302)</t>
  </si>
  <si>
    <t>Coordinator (national) — competitor GTX-102 LTE CL302; Timone GTX-102 Ph1/2 site</t>
  </si>
  <si>
    <t>STXBP1 French cohort phenotyping (per ESCO profile); AS-specific output not verified; GTX-102-CL302 LTE national coordinating investigator</t>
  </si>
  <si>
    <t>TIER 2 — high value — competitor-trial PI (displaceable after Aspire failure)</t>
  </si>
  <si>
    <t>https://stxbp1eu.org/france/; https://kcnq2francedeveloppement.fr/pole-recherche/; https://maladiesrares-necker.aphp.fr/rare-epilepsies/; https://hopital-broca.aphp.fr/registre-des-essais-cliniques/etude-dextension-long-terme-portant-sur-la-securite-demploi-et-65; https://clinicaltrials.gov/study/NCT04259281</t>
  </si>
  <si>
    <t>CHU Dijon Bourgogne — Centre de Génétique; FHU TRANSLAD</t>
  </si>
  <si>
    <t>ERN ITHACA Dijon lead</t>
  </si>
  <si>
    <t>NDD episignature co-author EJHG 2024 (PMID 37872275); AS-specific not verified</t>
  </si>
  <si>
    <t>TIER 2 — engage (genomic-medicine/RWE partner)</t>
  </si>
  <si>
    <t>https://ern-ithaca.eu/about-us/expert-centers/ern-ithaca-dijon-center/; https://pubmed.ncbi.nlm.nih.gov/37872275/</t>
  </si>
  <si>
    <t>Dr Perrine Charles</t>
  </si>
  <si>
    <t>AP-HP Pitié-Salpêtrière — Neurologie / CRMR DI de causes rares</t>
  </si>
  <si>
    <t>AFSA CMS neurologist; adult AS follow-up (AFSA adult-transition training 2021)</t>
  </si>
  <si>
    <t>No (individual PNDS role not verified)</t>
  </si>
  <si>
    <t>Co-author, NDD episignature evaluation, Eur J Hum Genet 2024;32:190-199 (PMID 37872275; not AS-specific)</t>
  </si>
  <si>
    <t>TIER 3 — monitor (adult-AS voice; REVEAL adult-cohort relevance)</t>
  </si>
  <si>
    <t>https://www.angelman-afsa.org/afsa/son-equipe/conseil-medical-et-scientifique/afsa/son-equipe/conseil-medical-et-scientifique/le-conseil-medical-et-scientifique; https://www.angelman-afsa.org/fichiers/Rapport%20d'Activites%202021-1654173306.pdf; https://pubmed.ncbi.nlm.nih.gov/37872275/</t>
  </si>
  <si>
    <t>Pr Angèle Consoli</t>
  </si>
  <si>
    <t>AP-HP Pitié-Salpêtrière — Pédopsychiatrie</t>
  </si>
  <si>
    <t>AFSA CMS child psychiatrist; AFSA family-handbook author</t>
  </si>
  <si>
    <t>AFSA livret contributor (behaviour); AS peer-reviewed output not verified</t>
  </si>
  <si>
    <t>TIER 3 — monitor (behaviour endpoints voice)</t>
  </si>
  <si>
    <t>https://www.angelman-afsa.org/afsa/son-equipe/conseil-medical-et-scientifique/afsa/son-equipe/conseil-medical-et-scientifique/le-conseil-medical-et-scientifique; https://www.livret-angelman-afsa.org/les-contributeurs</t>
  </si>
  <si>
    <t>Dr Marie Hully</t>
  </si>
  <si>
    <t>AP-HP Necker-Enfants Malades — Neuropédiatrie (CRMR DI &amp; polyhandicap) and Rééducation pédiatrique</t>
  </si>
  <si>
    <t>Former AFSA CMS president (succeeded Peudenier); head SFNP Commission Handicaps et Déficiences Intellectuelles</t>
  </si>
  <si>
    <t>Contributor via AFSA CMS (CMS finalised PNDS 2021) — individual authorship unverified</t>
  </si>
  <si>
    <t>AS peer-reviewed output not verified</t>
  </si>
  <si>
    <t>TIER 3 — monitor; upgrade candidate (AS clinic lead at Necker — verify)</t>
  </si>
  <si>
    <t>https://www.angelman-afsa.org/afsa/son-equipe/conseil-medical-et-scientifique/nouvelle-presidence-du-cms; https://www.angelman-afsa.org/afsa/son-equipe/conseil-medical-et-scientifique/afsa/son-equipe/conseil-medical-et-scientifique/le-conseil-medical-et-scientifique; https://www.angelman-afsa.org/fichiers/Rapport%20d'Activites%202021-1654173306.pdf</t>
  </si>
  <si>
    <t>Dr Marlène Rio</t>
  </si>
  <si>
    <t>AP-HP Necker-Enfants Malades — Génétique</t>
  </si>
  <si>
    <t>ERN ITHACA Paris consortium member (DéfiScience axis)</t>
  </si>
  <si>
    <t>AS-specific output not verified</t>
  </si>
  <si>
    <t>TIER 3 — monitor</t>
  </si>
  <si>
    <t>https://ern-ithaca.eu/about-us/expert-centers/ern-ithaca-paris-center-robert-debre-university-hospital/</t>
  </si>
  <si>
    <t>Dr David Germanaud</t>
  </si>
  <si>
    <t>AP-HP Robert-Debré — Génétique</t>
  </si>
  <si>
    <t>Dr Béatrice Desnous</t>
  </si>
  <si>
    <t>AP-HM La Timone Enfants — Neurologie pédiatrique (CRéER / CRMR DI)</t>
  </si>
  <si>
    <t>Current AFSA CMS president; MD-PhD child neurologist/neurophysiologist</t>
  </si>
  <si>
    <t>Genetic NDD/STXBP1 clinical studies; AS-specific output not verified</t>
  </si>
  <si>
    <t>TIER 3 — monitor; high community value (AFSA CMS president)</t>
  </si>
  <si>
    <t>https://www.angelman-afsa.org/afsa/son-equipe/conseil-medical-et-scientifique/afsa/son-equipe/conseil-medical-et-scientifique/le-conseil-medical-et-scientifique; https://stxbp1eu.org/france/; https://kcnq2francedeveloppement.fr/pole-recherche/</t>
  </si>
  <si>
    <t>Dr Stéphanie Valence</t>
  </si>
  <si>
    <t>AP-HP Hôpital Armand-Trousseau — Neurologie pédiatrique</t>
  </si>
  <si>
    <t>Dr Nathalie Dorison</t>
  </si>
  <si>
    <t>AP-HP Hôpital Armand-Trousseau — Neuropédiatrie (historic listing)</t>
  </si>
  <si>
    <t>Former AFSA CMS member; AFSA livret author</t>
  </si>
  <si>
    <t>No (AFSA handbook only)</t>
  </si>
  <si>
    <t>AFSA livret contributor</t>
  </si>
  <si>
    <t>TIER 3 — monitor — verify current lead</t>
  </si>
  <si>
    <t>https://www.livret-angelman-afsa.org/les-contributeurs</t>
  </si>
  <si>
    <t>Hospices Civils de Lyon — HFME, Service de génétique</t>
  </si>
  <si>
    <t>ERN ITHACA Lyon lead; CLAD Sud-Est</t>
  </si>
  <si>
    <t>https://ern-ithaca.eu/about-us/expert-centers/ern-ithaca-lyon-center/</t>
  </si>
  <si>
    <t>CHI Toulon–La Seyne — Génétique</t>
  </si>
  <si>
    <t>Current AFSA CMS member</t>
  </si>
  <si>
    <t>https://www.angelman-afsa.org/afsa/son-equipe/conseil-medical-et-scientifique/afsa/son-equipe/conseil-medical-et-scientifique/le-conseil-medical-et-scientifique</t>
  </si>
  <si>
    <t>Current AFSA CMS member (psychiatrist)</t>
  </si>
  <si>
    <t>Not verified (AS)</t>
  </si>
  <si>
    <t>CHU de Brest — Neuropédiatrie</t>
  </si>
  <si>
    <t>AFSA CMS president for 7 years (before Hully)</t>
  </si>
  <si>
    <t>TIER 3 — monitor — verify current activity</t>
  </si>
  <si>
    <t>https://www.angelman-afsa.org/afsa/son-equipe/conseil-medical-et-scientifique/nouvelle-presidence-du-cms; https://www.livret-angelman-afsa.org/les-contributeurs</t>
  </si>
  <si>
    <t>CH du Pays d'Aix — Neuropédiatrie (historic)</t>
  </si>
  <si>
    <t>Historic AFSA CMS member; co-author Moncla et al. 1999 AS series</t>
  </si>
  <si>
    <t>Moncla A, ... Livet MO. J Med Genet 1999;36:554-60; Eur J Hum Genet 1999;7:131-9 (historic)</t>
  </si>
  <si>
    <t>TIER 3 — monitor — likely retired, verify</t>
  </si>
  <si>
    <t>https://www.livret-angelman-afsa.org/les-contributeurs; https://www.has-sante.fr/upload/docs/application/pdf/2021-11/argumentaire_pnds_angelman_vf.pdf</t>
  </si>
  <si>
    <t>Dr. med. Christine Makowski</t>
  </si>
  <si>
    <t>LMU Klinikum – Dr. von Haunersches Kinderspital, iSPZ Hauner, München (Leitung Angelman Zentrum München; Oberärztin, Neuropädiatrie/Epileptologie)</t>
  </si>
  <si>
    <t>Medical lead of Germany's first AS centre; ASF clinic and LADDER lead; Orphanet expert-centre coordinator; leads the centre that is the first EU REVEAL site (PI not publicly confirmed); centre also ran Roche alogabat (Aldebaran); Aspire site</t>
  </si>
  <si>
    <t>Angelman e.V. medical-scientific advisory board (national analogue); not a 2022 international consensus author</t>
  </si>
  <si>
    <t>Site lead — AZM natural-history cohort; LADDER network clinic; REVEAL / Aspire site (centre-level)</t>
  </si>
  <si>
    <t>Last author: Manssen et al. Neuropediatrics 2025 (doi:10.1055/a-2399-0191); last author: Manssen et al. EJPN 2026 (PMID 42771958); co-author: NCSE in a child with AS, Neuropediatrics 2024;55(S01) abstract (doi:10.1055/s-0044-1791880). Trials: REVEAL NCT06914609 (centre), Aspire NCT06617429 (centre), Aldebaran NCT05630066 (centre — the advisory-board flyer states the AZM ran the Roche alogabat study)</t>
  </si>
  <si>
    <t>No international oral presentation verified; national congress abstract (GNP/Neuropädiatrie 2024)</t>
  </si>
  <si>
    <t>TIER 1 — must-engage (ION582-specific) — score Tier 2; verify REVEAL PI role</t>
  </si>
  <si>
    <t>https://www.lmu-klinikum.de/ispz/schwerpunkte/kinderneurologie-und-entwicklungsneurologie/angelman-zentrum-munchen/92177eec075dcc14; https://angelman.de/hilfe-fuer-eltern/angelman-zentren/; https://www.ukaachen.de/fileadmin/files/zentren/mzeb/Angelman_Beiratsflyer.pdf; https://www.orpha.net/de/expert-centres/centre/630589; https://www.thieme-connect.com/products/ejournals/html/10.1055/a-2399-0191; https://pubmed.ncbi.nlm.nih.gov/42771958/; https://www.thieme-connect.com/products/ejournals/html/10.1055/s-0044-1791880; https://angelman.org/wp-content/uploads/2026/04/Ionis-REVEAL-sites-EU_community-letter.pdf</t>
  </si>
  <si>
    <t>Prof. Dr. med. Ingo Borggräfe</t>
  </si>
  <si>
    <t>LMU Klinikum – Dr. von Haunersches Kinderspital; Leiter der Sektion Pädiatrische Epileptologie, Epilepsiezentrum München; Co-Direktor iSPZ Hauner</t>
  </si>
  <si>
    <t>Section head of paediatric epileptology overseeing the AZM; co-author of the 2026 AS cohort paper; FAES</t>
  </si>
  <si>
    <t>No (institutional oversight of the REVEAL site — verify)</t>
  </si>
  <si>
    <t>Co-author: Manssen et al. EJPN 2026 (PMID 42771958). Broader paediatric epilepsy output not enumerated in this pass</t>
  </si>
  <si>
    <t>Not verified; course director for national EEG courses (Deutsche Akademie, 2026)</t>
  </si>
  <si>
    <t>TIER 1 — must-engage (ION582-specific) — institutional decision-maker at the REVEAL site</t>
  </si>
  <si>
    <t>https://www.lmu-klinikum.de/ispz/6390d5eadfcf6ae3/ad586f274cda4cf2; https://referral-portal-staging.lmu-klinikum.de/hauner/kinder-und-kinderpoliklinik/abteilungen/neuropadiatrie/team/2d79c2a6e1741a2a; https://pubmed.ncbi.nlm.nih.gov/42771958/; https://www.ejpn-journal.com/article/S1090-3798%2826%2900097-8/fulltext; https://www.akademie-muenchen.de/referenten/borggraefe/</t>
  </si>
  <si>
    <t>Dr. med. Janina Gburek-Augustat</t>
  </si>
  <si>
    <t>Universitätsklinikum Leipzig – Division of Neuropediatrics / SPZ, Leitung Angelman-Zentrum Leipzig</t>
  </si>
  <si>
    <t>Lead of the Angelman-Zentrum Leipzig (ASF clinic); Angelman e.V. advisory board; centre took part in a Phase 1/2 ASO trial (GTX-102) and the AS natural-history study; Aspire site</t>
  </si>
  <si>
    <t>Angelman e.V. medical-scientific advisory board (national analogue)</t>
  </si>
  <si>
    <t>Site lead — GTX-102 Ph1/2 and Aspire (centre-level; PI not publicly listed); natural-history study participation</t>
  </si>
  <si>
    <t>Co-author: Manssen et al. Neuropediatrics 2025 (doi:10.1055/a-2399-0191); co-author: Manssen et al. EJPN 2026 (PMID 42771958). Trials: NCT04259281, NCT06617429 (Leipzig site)</t>
  </si>
  <si>
    <t>None verified</t>
  </si>
  <si>
    <t>TIER 2 — high value — competitor-trial (apazunersen) site lead; candidate REVEAL/CHAMPION site</t>
  </si>
  <si>
    <t>https://angelman.org/asf-clinics/angelman-center-leipzig/; https://angelman.de/hilfe-fuer-eltern/angelman-zentren/; https://angelman.de/wp-content/uploads/2025/07/Falzflyer_Angelman-Zentrum_Leipzig_2025.pdf; https://www.ukaachen.de/fileadmin/files/zentren/mzeb/Angelman_Beiratsflyer.pdf; https://www.thieme-connect.com/products/ejournals/html/10.1055/a-2399-0191; https://pubmed.ncbi.nlm.nih.gov/42771958/; https://clinicaltrials.gov/study/NCT04259281; https://ichgcp.net/de/clinical-trials-registry/NCT06617429</t>
  </si>
  <si>
    <t>Dr. med. Andrea Maier</t>
  </si>
  <si>
    <t>Uniklinik RWTH Aachen – Klinik für Neurologie; geschäftsführende Oberärztin MZEB; Leitung Angelman Zentrum Aachen; Leitung Forschungsgruppe Maier</t>
  </si>
  <si>
    <t>Leads Germany's only adult AS centre; Orphanet expert-centre coordinator; Angelman e.V. advisory board</t>
  </si>
  <si>
    <t>TIER 2 — engage — adult-cohort (REVEAL Cohort 2) and transition voice</t>
  </si>
  <si>
    <t>https://www.ukaachen.de/kliniken-institute/mzeb/fuer-patienten-und-zuweiser/angelman-zentrum-aachen/; https://angelman.org/asf-clinics/angelman-center-aachen/; https://www.orpha.net/de/expert-centres/centre/692003; https://www.ukaachen.de/en/kliniken-institute/mzeb/zentrum/team/; https://www.ukaachen.de/kliniken-institute/klinik-fuer-neurologie/forschung-1/forschungsschwerpunkte/forschungsgruppen/forschungsgruppe-maier/; https://www.ukaachen.de/fileadmin/files/zentren/mzeb/Angelman_Beiratsflyer.pdf</t>
  </si>
  <si>
    <t>Prof. Dr. med. Jonas Denecke</t>
  </si>
  <si>
    <t>Universitätsklinikum Hamburg-Eppendorf – Klinik und Poliklinik für Kinder- und Jugendmedizin, Ärztliche Leitung Arbeitsgruppe Neuropädiatrie</t>
  </si>
  <si>
    <t>Head of paediatric neurology research group at UKE, a GTX-102 Ph1/2 and Aspire site. AS trial PI not publicly identified (gap-fill: department lead)</t>
  </si>
  <si>
    <t>Centre-level competitor-trial site only (PI unverified)</t>
  </si>
  <si>
    <t>2025 output incl. Bauer C … Denecke J. Seizure 2025;129:14-21; Cramer P … Denecke J. EJPN 2025;54:58-63; Pelizzari S … Denecke J, Johannsen J. Front Neurol 2025;16:1582548 (no AS-specific paper found)</t>
  </si>
  <si>
    <t>TIER 2 — high value — competitor-trial site lead (verify PI)</t>
  </si>
  <si>
    <t>https://www.uke.de/kliniken-institute/kliniken/kinder-und-jugendmedizin/forschung/klinische-forschung/neurop%C3%A4diatrie.html; https://clinicaltrials.gov/study/NCT04259281; https://ichgcp.net/de/clinical-trials-registry/NCT06617429</t>
  </si>
  <si>
    <t>Dr. rer. nat. Jasmin Beygo</t>
  </si>
  <si>
    <t>Universitätsklinikum Essen – Institut für Humangenetik (imprinting disorders group; non-physician)</t>
  </si>
  <si>
    <t>First author of the EMQN/ACGS PWS/AS molecular-diagnosis guideline; co-author of the AWMF S1 2020 German guideline; AS imprinting-centre research</t>
  </si>
  <si>
    <t>Yes — EMQN/ACGS best-practice guideline 2019 (first author; international) + AWMF S1 078-010 (2020)</t>
  </si>
  <si>
    <t>Beygo J et al. EJHG 2019;27:1326 (PMID 31235867); Beygo J et al. EJHG 2020 AS-IC variation (doi:10.1038/s41431-020-0595-y); Beygo J et al. Prenat Diagn 2023;43:973 (doi:10.1002/pd.6398); co-author Nat Commun 2026 (MAU2) and Nat Genet 2026 (RNU4-2)</t>
  </si>
  <si>
    <t>TIER 2 — engage — diagnostic/genotype-stratification expert (non-physician)</t>
  </si>
  <si>
    <t>https://pubmed.ncbi.nlm.nih.gov/31235867/; https://www.nature.com/articles/s41431-020-0595-y; https://obgyn.onlinelibrary.wiley.com/doi/pdf/10.1002/pd.6398; https://humangenetik.uk-essen.de/forschung/imprintingdiseases/; https://humangenetik.uk-essen.de/forschung/veroeffentlichungen/</t>
  </si>
  <si>
    <t>Dr. rer. nat. Deniz Kanber</t>
  </si>
  <si>
    <t>Universitätsklinikum Essen – Institut für Humangenetik (non-physician)</t>
  </si>
  <si>
    <t>Co-senior author (equal contribution) of the EMQN/ACGS PWS/AS guideline; imprinting-disorders group contact</t>
  </si>
  <si>
    <t>Yes — EMQN/ACGS best-practice guideline 2019 (co-senior; international)</t>
  </si>
  <si>
    <t>Beygo J … Kanber D. EJHG 2019 (PMID 31235867); co-author Parenti I et al. Nat Commun 2026</t>
  </si>
  <si>
    <t>TIER 2 — engage — diagnostic lab expert (non-physician)</t>
  </si>
  <si>
    <t>https://pubmed.ncbi.nlm.nih.gov/31235867/; https://humangenetik.uk-essen.de/forschung/imprintingdiseases/; https://humangenetik.uk-essen.de/forschung/veroeffentlichungen/</t>
  </si>
  <si>
    <t>Prof. Dr. med. Dagmar Wieczorek</t>
  </si>
  <si>
    <t>Universitätsklinikum Düsseldorf – Klinische Genommedizin / Zentrum für syndromale Erkrankungen; ERN ITHACA Düsseldorf centre contact</t>
  </si>
  <si>
    <t>ERN ITHACA HCP lead contact in Düsseldorf; coordinates the craniofacial-anomalies centre. No AS-specific activity</t>
  </si>
  <si>
    <t>No AS guideline</t>
  </si>
  <si>
    <t>No AS-specific publication verified</t>
  </si>
  <si>
    <t>TIER 3 — monitor — ERN ITHACA network gatekeeper (no AS activity)</t>
  </si>
  <si>
    <t>https://ern-ithaca.eu/about-us/expert-centers/ern-ithaca-dusseldorf-center/</t>
  </si>
  <si>
    <t>Dr. med. Lena Manssen</t>
  </si>
  <si>
    <t>LMU Klinikum – Dr. von Haunersches Kinderspital, iSPZ Hauner / Comprehensive Epilepsy Center LMU, München (Fachärztin Kinder- und Jugendmedizin; AZM team)</t>
  </si>
  <si>
    <t>First and corresponding author of Germany's two key AS papers (2025 review; 2026 natural-history ASM cohort); AZM physician</t>
  </si>
  <si>
    <t>AZM natural-history cohort (analyst/first author)</t>
  </si>
  <si>
    <t>First author: Precision Medicine in AS, Neuropediatrics 2025;56:69-82 (doi:10.1055/a-2399-0191); first author: Treatment responses to ASM in children with AS, EJPN 2026 (PMID 42771958); first author: NCSE in a child with AS, Neuropediatrics 2024 abstract</t>
  </si>
  <si>
    <t>No international oral verified; national congress abstract (Neuropädiatrie 2024)</t>
  </si>
  <si>
    <t>TIER 2 — engage — emerging AS researcher on the ION582 site team (verify sub-investigator role)</t>
  </si>
  <si>
    <t>https://www.lmu-klinikum.de/ispz/schwerpunkte/kinderneurologie-und-entwicklungsneurologie/angelman-zentrum-munchen/92177eec075dcc14; https://www.thieme-connect.com/products/ejournals/html/10.1055/a-2399-0191; https://pubmed.ncbi.nlm.nih.gov/42771958/; https://www.thieme-connect.com/products/ejournals/html/10.1055/s-0044-1791880; https://www.lmu-klinikum.de/ispz/schwerpunkte/kinderneurologie-und-entwicklungsneurologie/epileptologie/6444bb91e6ed2dae</t>
  </si>
  <si>
    <t>Dr. med. Heike Weigand</t>
  </si>
  <si>
    <t>LMU Klinikum – iSPZ Hauner, München (developmental neurology; AZM treatment team)</t>
  </si>
  <si>
    <t>AZM team physician (developmental neurology); co-author of the 2025 AS review</t>
  </si>
  <si>
    <t>Co-author: Manssen et al. Neuropediatrics 2025 (doi:10.1055/a-2399-0191)</t>
  </si>
  <si>
    <t>TIER 3 — monitor (ION582 site team)</t>
  </si>
  <si>
    <t>https://angelman.de/wp-content/uploads/2025/01/iSPZ-Flyer-Angelman-Zentrum-MUC-DE-2025.pdf; https://www.thieme-connect.com/products/ejournals/html/10.1055/a-2399-0191</t>
  </si>
  <si>
    <t>Dr. med. Leonie Nicolai</t>
  </si>
  <si>
    <t>LMU Klinikum – Dr. von Haunersches Kinderspital, Neuropädiatrie / iSPZ Epileptologie, München (Fachärztin)</t>
  </si>
  <si>
    <t>Co-author of the 2026 AS ASM cohort; epileptology team</t>
  </si>
  <si>
    <t>Co-author: Manssen et al. EJPN 2026 (PMID 42771958)</t>
  </si>
  <si>
    <t>https://www.lmu-klinikum.de/ispz/schwerpunkte/kinderneurologie-und-entwicklungsneurologie/epileptologie/6444bb91e6ed2dae; https://referral-portal-staging.lmu-klinikum.de/hauner/kinder-und-kinderpoliklinik/abteilungen/neuropadiatrie/team/2d79c2a6e1741a2a; https://pubmed.ncbi.nlm.nih.gov/42771958/</t>
  </si>
  <si>
    <t>Prof. Dr. med. Florian Heinen</t>
  </si>
  <si>
    <t>LMU Klinikum – Dr. von Haunersches Kinderspital, Leitung Neuropädiatrie (Division of Pediatric Neurology, Developmental Medicine and Social Pediatrics)</t>
  </si>
  <si>
    <t>Division head (named in the hospital directory) over the AZM and iSPZ. No AS-specific authorship or trial role verified; included via directory gap-fill</t>
  </si>
  <si>
    <t>No (no AS guideline verified)</t>
  </si>
  <si>
    <t>No AS-specific publication verified in this pass</t>
  </si>
  <si>
    <t>TIER 2 — engage (institutional sponsor of the AZM/REVEAL site) — verify AS involvement</t>
  </si>
  <si>
    <t>https://referral-portal-staging.lmu-klinikum.de/hauner/kinder-und-kinderpoliklinik/abteilungen/neuropadiatrie/team/2d79c2a6e1741a2a</t>
  </si>
  <si>
    <t>Prof. Dr. med. Andreas Merkenschlager</t>
  </si>
  <si>
    <t>Universitätsklinikum Leipzig – Division of Neuropediatrics, Klinik und Poliklinik für Kinder- und Jugendmedizin</t>
  </si>
  <si>
    <t>Senior paediatric neurologist/epileptologist on the AZL team; co-author of the 2025 AS review</t>
  </si>
  <si>
    <t>No (centre-level competitor-trial site)</t>
  </si>
  <si>
    <t>TIER 2 — engage (Leipzig neuropaediatrics leadership — verify title/role)</t>
  </si>
  <si>
    <t>https://angelman.de/wp-content/uploads/2025/07/Falzflyer_Angelman-Zentrum_Leipzig_2025.pdf; https://www.thieme-connect.com/products/ejournals/html/10.1055/a-2399-0191</t>
  </si>
  <si>
    <t>Dr. med. Ilona Krey (Krey-Grauert)</t>
  </si>
  <si>
    <t>Universitätsklinikum Leipzig – Institut für Humangenetik (AZL genetics lead)</t>
  </si>
  <si>
    <t>Clinical geneticist; co-project-manager of the German AS Online Registry; Angelman e.V. advisory board; co-first author of the 2025 review</t>
  </si>
  <si>
    <t>Co-coordinator — German Angelman Syndrome Online Registry (with Lemke)</t>
  </si>
  <si>
    <t>Co-first author (#): Manssen/Krey et al. Neuropediatrics 2025 (doi:10.1055/a-2399-0191); co-author: EJPN 2026 (PMID 42771958)</t>
  </si>
  <si>
    <t>TIER 2 — high value — national registry / genotype data partner</t>
  </si>
  <si>
    <t>https://angelman.de/hilfe-fuer-eltern/angelman-zentren/; https://www.uniklinikum-leipzig.de/einrichtungen/humangenetik/Freigegebene%20Dokumente/StudyInformation_Angelman_english.pdf; https://www.ukaachen.de/fileadmin/files/zentren/mzeb/Angelman_Beiratsflyer.pdf; https://www.thieme-connect.com/products/ejournals/html/10.1055/a-2399-0191; https://pubmed.ncbi.nlm.nih.gov/42771958/</t>
  </si>
  <si>
    <t>Prof. Dr. med. Johannes R. Lemke</t>
  </si>
  <si>
    <t>Universitätsklinikum Leipzig – Institut für Humangenetik; Center for Rare Diseases (UZSEL)</t>
  </si>
  <si>
    <t>Contact and project manager of the German Angelman Syndrome Online Registry; senior author on both German AS cohort papers</t>
  </si>
  <si>
    <t>Coordinator — German Angelman Syndrome Online Registry (ethics 465/19-ek)</t>
  </si>
  <si>
    <t>Co-author: Manssen et al. Neuropediatrics 2025 (doi:10.1055/a-2399-0191); co-author: EJPN 2026 (PMID 42771958). Wider epilepsy-genetics output not enumerated (score likely understated)</t>
  </si>
  <si>
    <t>Not verified in this pass</t>
  </si>
  <si>
    <t>TIER 2 — high value — national AS registry coordinator (RWE partner)</t>
  </si>
  <si>
    <t>https://www.uniklinikum-leipzig.de/einrichtungen/humangenetik/Seiten/de_Forschung-Fragebogen-Angelman-Syndrom.aspx; https://www.uniklinikum-leipzig.de/einrichtungen/humangenetik/Freigegebene%20Dokumente/StudyInformation_Angelman_english.pdf; https://www.thieme-connect.com/products/ejournals/html/10.1055/a-2399-0191; https://www.ejpn-journal.com/article/S1090-3798%2826%2900097-8/fulltext</t>
  </si>
  <si>
    <t>Univ.-Prof. Dr. med. Jörg B. Schulz</t>
  </si>
  <si>
    <t>Uniklinik RWTH Aachen – Direktor Klinik für Neurologie; Leiter MZEB</t>
  </si>
  <si>
    <t>Institutional head of the MZEB, which hosts the Angelman Zentrum Aachen; no AS-specific role verified</t>
  </si>
  <si>
    <t>TIER 3 — monitor (institutional gatekeeper, Aachen)</t>
  </si>
  <si>
    <t>https://www.ukaachen.de/en/kliniken-institute/mzeb/zentrum/team/</t>
  </si>
  <si>
    <t>PD Dr. med. Jessika Johannsen</t>
  </si>
  <si>
    <t>Universitätsklinikum Hamburg-Eppendorf – Kinder- und Jugendmedizin, Oberärztin, AG Neuropädiatrie</t>
  </si>
  <si>
    <t>Senior paediatric neurologist at a GTX-102/Aspire site (AS trial role unverified)</t>
  </si>
  <si>
    <t>No (verify)</t>
  </si>
  <si>
    <t>Pelizzari S … Johannsen J. Front Neurol 2025;16:1582548 (epilepsy; not AS)</t>
  </si>
  <si>
    <t>TIER 3 — monitor — verify Aspire sub-investigator role</t>
  </si>
  <si>
    <t>https://www.uke.de/kliniken-institute/kliniken/kinder-und-jugendmedizin/forschung/klinische-forschung/neurop%C3%A4diatrie.html</t>
  </si>
  <si>
    <t>Prof. Dr. Karin Buiting</t>
  </si>
  <si>
    <t>Universitätsklinikum Essen – Institut für Humangenetik (current status unverified; possibly retired)</t>
  </si>
  <si>
    <t>Long-standing 15q11q13 imprinting authority; first author of the AWMF S1 PWS/AS diagnostic guideline (2020); EMQN/ACGS 2019 co-author</t>
  </si>
  <si>
    <t>Yes — AWMF S1 078-010 (2020, lead) + EMQN/ACGS 2019 (co-author)</t>
  </si>
  <si>
    <t>Beygo J, Buiting K et al. EJHG 2019 (PMID 31235867); Beygo J … Buiting K, Horsthemke B. EJHG 2020 (doi:10.1038/s41431-020-0595-y)</t>
  </si>
  <si>
    <t>TIER 3 — monitor — verify current affiliation/activity</t>
  </si>
  <si>
    <t>https://pubmed.ncbi.nlm.nih.gov/31235867/; https://www.nature.com/articles/s41431-020-0595-y; https://www.thieme-connect.com/products/ejournals/html/10.1055/a-2399-0191</t>
  </si>
  <si>
    <t>Prof. Dr. Bernd Wollnik</t>
  </si>
  <si>
    <t>Universitätsmedizin Göttingen – Institut für Humangenetik; ZSEG board member</t>
  </si>
  <si>
    <t>ERN ITHACA member institute (since 2022); ZSE Göttingen board. No AS-specific activity</t>
  </si>
  <si>
    <t>https://humangenetik.umg.eu/genetische-beratung/seltene-erkrankungen/</t>
  </si>
  <si>
    <t>Prof. Dr. Andreas Schulze-Bonhage</t>
  </si>
  <si>
    <t>Universitätsklinikum Freiburg – Ärztlicher Leiter, Epilepsiezentrum (ERN EpiCARE)</t>
  </si>
  <si>
    <t>Leads one of Germany's ERN EpiCARE centres. No AS-specific activity</t>
  </si>
  <si>
    <t>TIER 3 — monitor — rare-epilepsy network voice</t>
  </si>
  <si>
    <t>https://www.uniklinik-freiburg.de/epilepsie/fuer-aerzte/epicare.html</t>
  </si>
  <si>
    <t>Dr Stefano D'Arrigo</t>
  </si>
  <si>
    <t>Fondazione IRCCS Istituto Neurologico Carlo Besta, Milano – UOC Neurologia dello Sviluppo</t>
  </si>
  <si>
    <t>PI/scientific director FAST Italia–Besta Angelman Biobank; REVEAL site clinician lead; Aurora site lead</t>
  </si>
  <si>
    <t>Coordinator (FAST Italia AS Biobank) + Site — ION582 REVEAL + Site — competitor (Aurora)</t>
  </si>
  <si>
    <t>Sirtori B, Miozzo M, Rondinone O, D'Arrigo S, Alberini C. Angelman Syndrome Biobank Repository (protocol abstract, 2021); REVEAL NCT06914609 Besta site lead; Aurora NCT07157254 Besta site lead</t>
  </si>
  <si>
    <t>Not publicly identified (no verified international oral/poster on AS found)</t>
  </si>
  <si>
    <t>TIER 2 — high value (ION582-specific; also competitor-trial PI — national anchor)</t>
  </si>
  <si>
    <t>https://www.dottnet.it/articolo/32526756/sindrome-di-angelman-nasce-la-prima-biobanca-di-campioni-biologici/; https://www.cureangelman.it/wp-content/uploads/2021/02/definitivo-Angelman-Syndrome-Biobanking3-1.pdf; https://www.fsm.unipi.it/2026/05/21/angelman-trial-clinico-ionis-pisa-2026/; https://sindromediangelman.org/wp-content/uploads/2026/01/Aggiornamento-Trial-Ultragenix.pdf</t>
  </si>
  <si>
    <t>Prof.ssa Roberta Battini</t>
  </si>
  <si>
    <t>IRCCS Fondazione Stella Maris / Università di Pisa – UO Neurologia (Neuropsichiatria infantile)</t>
  </si>
  <si>
    <t>REVEAL clinician lead for Pisa centre; Pisa is only Italian HALOS site; Associate Professor, head of UO Neurologia, director of NPI specialty school</t>
  </si>
  <si>
    <t>Site — ION582 REVEAL (+ HALOS centre; HALOS site PI not publicly named)</t>
  </si>
  <si>
    <t>REVEAL NCT06914609 (Pisa); HALOS NCT05127226 (AOU Pisana site); ASA grant 2021 AS brain-targeting nano-tools (Tonazzini, Baroncelli, Battini); broad neurodevelopmental publication record (Google Scholar h-index 62)</t>
  </si>
  <si>
    <t>TIER 2 — high value (ION582-specific evidence partner: HALOS + REVEAL)</t>
  </si>
  <si>
    <t>https://www.fsm.unipi.it/2026/05/21/angelman-trial-clinico-ionis-pisa-2026/; https://www.fsm.unipi.it/professionista/roberta-battini/; https://scholar.google.com/citations?user=88pcGUUAAAAJ&amp;hl=it; https://angelmanalliance.org/publications-of-asa-founded-researchers/; https://ichgcp.net/clinical-trials-registry/NCT05127226</t>
  </si>
  <si>
    <t>Dr Nicola Pietrafusa</t>
  </si>
  <si>
    <t>IRCCS Ospedale Pediatrico Bambino Gesù, Roma – UO Neurologia dell'Epilessia e Disturbi del Movimento</t>
  </si>
  <si>
    <t>REVEAL clinician lead (OPBG); first author AS NCSE/CBD paper</t>
  </si>
  <si>
    <t>Pietrafusa N, De Palma L, Armando M, Corsetti T, Vigevano F, Specchio N. Successful use of cannabidiol in nonconvulsive status epilepticus in Angelman syndrome. Epilepsia Open 2024;9(5):1997-9. PMID 39175208; REVEAL NCT06914609 OPBG</t>
  </si>
  <si>
    <t>TIER 2 — high value (ION582-specific: REVEAL site lead)</t>
  </si>
  <si>
    <t>https://pubmed.ncbi.nlm.nih.gov/39175208/; https://www.fsm.unipi.it/2026/05/21/angelman-trial-clinico-ionis-pisa-2026/; https://scholar.google.com/citations?user=rnviFxEAAAAJ&amp;hl=it</t>
  </si>
  <si>
    <t>Dr Alberto Danieli</t>
  </si>
  <si>
    <t>IRCCS Eugenio Medea, Conegliano – Unità Epilessia e Neurofisiologia Clinica</t>
  </si>
  <si>
    <t>REVEAL clinician lead (Medea); co-senior author AS hd-EEG biomarker study</t>
  </si>
  <si>
    <t>Site — ION582 REVEAL (activation pending Jun-2026)</t>
  </si>
  <si>
    <t>Duma GM, Bagnoli M, … Bonanni P, Danieli A. Cortical hyperexcitability shapes large-scale brain dynamics and behavioral outcome in AS. Biol Psychiatry Glob Open Sci 2026;6(6):100794. PMID 42733627; Michieletto P…Danieli A, Bonanni P. Strabismus surgery in AS. PLoS One 2020. PMID 33186391; REVEAL NCT06914609</t>
  </si>
  <si>
    <t>TIER 2 — high value (ION582-specific; EEG-biomarker voice)</t>
  </si>
  <si>
    <t>https://www.fsm.unipi.it/2026/05/21/angelman-trial-clinico-ionis-pisa-2026/; https://pubmed.ncbi.nlm.nih.gov/42733627/; https://www.ncbi.nlm.nih.gov/pmc/articles/PMC7665582/</t>
  </si>
  <si>
    <t>Dr Nicola Specchio</t>
  </si>
  <si>
    <t>IRCCS Ospedale Pediatrico Bambino Gesù, Roma – Responsabile UO Neurologia dell'Epilessia e Disturbi del Movimento (EpiCARE)</t>
  </si>
  <si>
    <t>Head of OPBG EpiCARE epilepsy unit; senior author AS NCSE paper</t>
  </si>
  <si>
    <t>No (unit hosts REVEAL)</t>
  </si>
  <si>
    <t>Senior author PMID 39175208 (Epilepsia Open 2024, AS NCSE); extensive rare-epilepsy output</t>
  </si>
  <si>
    <t>TIER 2 — engage (rare-epilepsy anchor)</t>
  </si>
  <si>
    <t>https://www.ospedalebambinogesu.it/epilessie-rare-e-complesse-98672/; https://pubmed.ncbi.nlm.nih.gov/39175208/</t>
  </si>
  <si>
    <t>Prof. Federico Vigevano</t>
  </si>
  <si>
    <t>IRCCS Ospedale Pediatrico Bambino Gesù, Roma – Area Scientifica Neuroscienze e Medicina Riabilitativa</t>
  </si>
  <si>
    <t>OR.S.A.-listed AS lead for OPBG; co-author AS NCSE paper</t>
  </si>
  <si>
    <t>Co-author PMID 39175208 (2024)</t>
  </si>
  <si>
    <t>TIER 2 — engage — verify current role</t>
  </si>
  <si>
    <t>https://sindromediangelman.org/centri-sintrome-di-angelman/; https://pubmed.ncbi.nlm.nih.gov/39175208/</t>
  </si>
  <si>
    <t>AOU Meyer IRCCS, Firenze – Neurologia Pediatrica</t>
  </si>
  <si>
    <t>Aurora (GTX-102) Italian site lead; OR.S.A. reference clinician</t>
  </si>
  <si>
    <t>Aurora NCT07157254 Meyer site lead (per OR.S.A.); prolific paediatric-epilepsy author (AS-specific 2021-26 papers not verified)</t>
  </si>
  <si>
    <t>TIER 2 — high value — competitor-trial PI</t>
  </si>
  <si>
    <t>https://sindromediangelman.org/wp-content/uploads/2026/01/Aggiornamento-Trial-Ultragenix.pdf; https://ichgcp.net/clinical-trials-registry/NCT07157254; https://sindromediangelman.org/centri-sintrome-di-angelman/</t>
  </si>
  <si>
    <t>Fondazione Policlinico Universitario A. Gemelli IRCCS, Roma – Neuropsichiatria Infantile</t>
  </si>
  <si>
    <t>Aurora (GTX-102) Rome site lead (per OR.S.A.)</t>
  </si>
  <si>
    <t>Aurora NCT07157254 Rome site lead</t>
  </si>
  <si>
    <t>https://sindromediangelman.org/wp-content/uploads/2026/01/Aggiornamento-Trial-Ultragenix.pdf</t>
  </si>
  <si>
    <t>Dr Paolo Bonanni</t>
  </si>
  <si>
    <t>Co-senior author on Italian AS EEG/clinical studies; OR.S.A.-listed AS clinician</t>
  </si>
  <si>
    <t>No (Medea REVEAL site team — role not public)</t>
  </si>
  <si>
    <t>Duma…Bonanni P, Danieli A 2026 (PMID 42733627); Michieletto…Bonanni P 2020 (PMID 33186391); Sueri C, Ferlazzo E, Elia M, Bonanni P et al. Epilepsy and sleep disorders improve in adolescents and adults with AS: multicenter study on 46 patients. Epilepsy Behav 2017;75:225-9</t>
  </si>
  <si>
    <t>https://pubmed.ncbi.nlm.nih.gov/42733627/; https://www.epilepsybehavior.com/article/S1525-5050%2817%2930196-8/fulltext; https://sindromediangelman.org/centri-sintrome-di-angelman/</t>
  </si>
  <si>
    <t>Dr.ssa Michelina Armando</t>
  </si>
  <si>
    <t>IRCCS Ospedale Pediatrico Bambino Gesù, Roma – Dip. Neuroriabilitazione</t>
  </si>
  <si>
    <t>OR.S.A. AS contact at OPBG; co-author AS NCSE paper</t>
  </si>
  <si>
    <t>Dr.ssa Maria Margherita Mancardi</t>
  </si>
  <si>
    <t>IRCCS Istituto Giannina Gaslini, Genova – UOC Neuropsichiatria Infantile</t>
  </si>
  <si>
    <t>OR.S.A.-listed AS reference clinician (ITHACA+EpiCARE HCP)</t>
  </si>
  <si>
    <t>No AS publication verified 2021-26</t>
  </si>
  <si>
    <t>https://sindromediangelman.org/centri-sintrome-di-angelman/</t>
  </si>
  <si>
    <t>Prof. Lino Nobili</t>
  </si>
  <si>
    <t>IRCCS Istituto Giannina Gaslini, Genova – Neuropsichiatria Infantile</t>
  </si>
  <si>
    <t>ERN EpiCARE centre representative for Gaslini</t>
  </si>
  <si>
    <t>TIER 3 — monitor (sleep/epilepsy; verify AS interest)</t>
  </si>
  <si>
    <t>https://www.epag-italia.it/it/ern/ern-epicare</t>
  </si>
  <si>
    <t>Prof.ssa Francesca Darra</t>
  </si>
  <si>
    <t>AOUI Verona – UOC Neuropsichiatria Infantile</t>
  </si>
  <si>
    <t>ERN EpiCARE centre representative (Verona)</t>
  </si>
  <si>
    <t>No AS-specific publication verified 2021-26</t>
  </si>
  <si>
    <t>Dr.ssa Elena Fontana</t>
  </si>
  <si>
    <t>AOUI Verona – UO Neuropsichiatria Infantile</t>
  </si>
  <si>
    <t>OR.S.A.-listed AS reference clinician</t>
  </si>
  <si>
    <t>Azienda Ospedale Università di Padova – Neurologia Pediatrica</t>
  </si>
  <si>
    <t>OR.S.A.-listed AS reference clinician (ITHACA HCP)</t>
  </si>
  <si>
    <t>AOU Federico II, Napoli – Neuropsichiatria Infantile</t>
  </si>
  <si>
    <t>IRCCS Oasi Maria SS., Troina – UOC Neurologia e Neurofisiopatologia</t>
  </si>
  <si>
    <t>OR.S.A.-listed AS reference clinician; co-author Italian adult-AS study</t>
  </si>
  <si>
    <t>Sueri C, Ferlazzo E, Elia M, et al. Epilepsy Behav 2017;75:225-9 (pre-2021)</t>
  </si>
  <si>
    <t>https://sindromediangelman.org/centri-sintrome-di-angelman/; https://www.epilepsybehavior.com/article/S1525-5050%2817%2930196-8/fulltext</t>
  </si>
  <si>
    <t>Dr Edoardo Ferlazzo</t>
  </si>
  <si>
    <t>Università Magna Græcia Catanzaro / Centro Regionale Epilessie, GOM Reggio Calabria</t>
  </si>
  <si>
    <t>Co-first &amp; corresponding author of the Italian adult-AS multicentre study run with OR.S.A.</t>
  </si>
  <si>
    <t>Sueri C, Ferlazzo E, et al. Epilepsy Behav 2017;75:225-9 (pre-2021)</t>
  </si>
  <si>
    <t>https://www.epilepsybehavior.com/article/S1525-5050%2817%2930196-8/fulltext; https://sindromediangelman.org/centri-sintrome-di-angelman/</t>
  </si>
  <si>
    <t>IRCCS Istituto Auxologico Italiano, Milano – Genetica Clinica e Lab. Biologia Molecolare</t>
  </si>
  <si>
    <t>OR.S.A.-listed AS genetics reference; ASA-funded AS PI (JNK-inhibitor project, 2016)</t>
  </si>
  <si>
    <t>ASA grant 2016 'Potential therapeutic approach for synaptic deficit in AS' (2 publications reported by ASA)</t>
  </si>
  <si>
    <t>TIER 3 — monitor (diagnostics/genotype partner)</t>
  </si>
  <si>
    <t>https://sindromediangelman.org/centri-sintrome-di-angelman/; https://angelmanalliance.org/publications-of-asa-founded-researchers/</t>
  </si>
  <si>
    <t>IRCCS Istituto delle Scienze Neurologiche di Bologna – UOC Neuropsichiatria Infantile</t>
  </si>
  <si>
    <t>OR.S.A.-listed AS reference clinician (EpiCARE HCP)</t>
  </si>
  <si>
    <t>ASST Spedali Civili di Brescia – Neuropsichiatria Infantile</t>
  </si>
  <si>
    <t>Dr.ssa Claudia Ciaccio</t>
  </si>
  <si>
    <t>Fondazione IRCCS Istituto Neurologico Carlo Besta – UOC Neurologia dello Sviluppo</t>
  </si>
  <si>
    <t>Collaborator, FAST Italia–Besta AS Biobank</t>
  </si>
  <si>
    <t>Coordinator team (AS Biobank, collaborator)</t>
  </si>
  <si>
    <t>Biobank project (2021)</t>
  </si>
  <si>
    <t>https://www.dottnet.it/articolo/32526756/sindrome-di-angelman-nasce-la-prima-biobanca-di-campioni-biologici/</t>
  </si>
  <si>
    <t>Dr Francesco Biroli</t>
  </si>
  <si>
    <t>FROM – Fondazione per la Ricerca Ospedale di Bergamo ETS, Papa Giovanni XXIII Hospital, Bergamo</t>
  </si>
  <si>
    <t>Corresponding/senior author of the Italian AS Registry (RISA) outcomes paper</t>
  </si>
  <si>
    <t>Coordinator (RISA, NCT03650569)</t>
  </si>
  <si>
    <t>Carriero PL, Zangari R, Sfreddo E, Ghirardi A, Schieppati A, Barbui T, Biroli F. Exploring the clinical and genetic landscape of AS: patient-reported insights from an Italian registry. J Clin Med 2024;13(12):3520. doi:10.3390/jcm13123520. PMID 38930051</t>
  </si>
  <si>
    <t>TIER 3 — monitor (RWE/registry partner — verify clinical role)</t>
  </si>
  <si>
    <t>https://www.mdpi.com/2077-0383/13/12/3520; https://europepmc.org/article/MED/38930051; https://ichgcp.net/clinical-trials-registry/NCT03650569</t>
  </si>
  <si>
    <t>Dra. Ana Roche Martínez (MD, PhD; neuropaediatrician)</t>
  </si>
  <si>
    <t>Corporació Sanitària Parc Taulí – Unidad de Síndrome de Angelman (ASF Clinic Head); co-lead I3PT 'Genetically based neurodevelopmental disorders' group; Profesora asociada (UAB)</t>
  </si>
  <si>
    <t>Spain's leading AS clinician: ASF Clinic head; ASF Medical Advisory Council member; FAST España scientific committee; named PI of TANGELO (rugonersen) at Parc Taulí; public lead for Aspire at Parc Taulí; head of the first Spanish REVEAL site (site PI not publicly named – most probable PI, verify)</t>
  </si>
  <si>
    <t>Site lead — REVEAL (ION582) site unit head; site — Spanish AS Natural History Study (NCT06115109); LADDER/ASF clinic network</t>
  </si>
  <si>
    <t>Trials: REVEAL NCT06914609 (site unit; PI to verify); TANGELO NCT04428281 (site PI per FAST España); Aspire NCT06617429, GTX-102 NCT04259281/NCT06415344, Aldebaran NCT05630066 (site). Papers (genetic NDD, 2021): Joga-Elvira L…Roche-Martínez A, Brun-Gasca C. Am J Med Genet A 2021;185(5):1448-60; Res Dev Disabil 2021;112:103912; Genes (Basel) 2021;12(8):1108; Child Neuropsychol 2021;27(7):949-59 (fragile X). No first/last-author AS paper identified 2021-26</t>
  </si>
  <si>
    <t>Organiser/moderator, 1st European Workshop on Angelman Syndrome (EWAS), Sabadell, Jun-2023 (EJP-RD recognised; international faculty) — no oral at a major international congress identified</t>
  </si>
  <si>
    <t>TIER 2 — high value — ION582-specific (REVEAL site lead; verify PI) — national anchor; advisory-board core candidate</t>
  </si>
  <si>
    <t>https://angelman.org/asf-clinics/parc-tauli/; https://es.angelman.org/medical-advisory-council/; https://cureangelman.es/comite-cientifico; https://www.tauli.cat/institut/actualitat/noticies/2025/09/el-parc-tauli-avaluara-una-nova-terapia-per-a-la-sindrome-dangelman/; https://radiosabadell.fm/salut/parc-tauli-avalua-farmac-nou-tractar-sindrome-angelman; https://www.tauli.cat/en/institut/actualitat/noticies/2023/07/el-parc-tauli-organitza-la-primera-jornada-europea-de-sindrome-dangelman-a-catalunya/; https://www.tauli.cat/en/actualitat/agenda/jornada-europea-de-sindrome-dangelman/; https://portalrecerca.uab.cat/en/persons/ana-roche-martinez-2/; https://orcid.org/0000-0001-8295-1982; https://www.tauli.cat/en/institut/actualitat/noticies/2026/04/el-parc-tauli-busca-homes-adults-amb-sindrome-x-fragil-per-participar-en-un-assaig-clinic-dun-nou-farmac/; https://clinicaltrials.gov/study/NCT06914609; https://ctis.eu/trial/2024-519711-33-01</t>
  </si>
  <si>
    <t>Dra. Belén Ruiz Antorán (MD; clinical pharmacologist)</t>
  </si>
  <si>
    <t>Hospital Universitario Puerta de Hierro Majadahonda – Servicio de Farmacología Clínica / IIS Puerta de Hierro-Segovia de Arana</t>
  </si>
  <si>
    <t>National coordinator/contact of the Spanish AS Natural History Study (FAST España; NCT06115109); FAST España scientific committee; led FAST €130k AS biomarker grant (endocannabinoid/transcriptomic)</t>
  </si>
  <si>
    <t>Coordinator — Spanish AS Natural History Study NCT06115109</t>
  </si>
  <si>
    <t>López Pájaro LF, Ruiz Antorán MB, et al. Análisis descriptivo del EEG en el síndrome de Angelman. Rev Neurol 2021;72(2):51-60; Lorenzo Ruiz M…Ruiz Antorán B. Síndrome de Angelman en el adulto. Rev Neurol 2023;76(7):217-226 (senior author). Trial pharmacology support for Aspire/GTX-102 site (role not public)</t>
  </si>
  <si>
    <t>None identified (verify)</t>
  </si>
  <si>
    <t>TIER 2 — engage — RWE/natural-history evidence partner</t>
  </si>
  <si>
    <t>https://ichgcp.net/es/clinical-trials-registry/NCT06115109; https://www.orpha.net/es/research-trials/research-projects/628594; https://www.orpha.net/pdfs/data/prj/ES/Rch78830_ID154612ES.pdf; https://cureangelman.es/comite-cientifico; https://www.consalud.es/autonomias/c-madrid/puerta-hierro-da-paso-en-medicina-futuro-abordar-enfermedad-angelman.html; https://dialnet.unirioja.es/servlet/autor?codigo=3719732</t>
  </si>
  <si>
    <t>Prof. Alexis Arzimanoglou (paediatric epileptologist)</t>
  </si>
  <si>
    <t>Hospital Sant Joan de Déu Barcelona – Director, Epilepsy Programme; Coordinator ERN EpiCARE</t>
  </si>
  <si>
    <t>ERN EpiCARE coordinator (coordination at SJD since Oct-2023) at a REVEAL site; key epilepsy-network voice (AS: &gt;80% epilepsy)</t>
  </si>
  <si>
    <t>No (AS); EpiCARE network guidance role</t>
  </si>
  <si>
    <t>No AS registry role</t>
  </si>
  <si>
    <t>No AS-specific paper or AS-trial PI role identified in this pass; prominent epilepsy author (not re-verified here)</t>
  </si>
  <si>
    <t>International epilepsy congresses (EpiCARE presence at 16th European Epilepsy Congress, Athens 2026) — individual oral not verified</t>
  </si>
  <si>
    <t>TIER 2 — engage — EpiCARE/epilepsy channel (not AS-specific)</t>
  </si>
  <si>
    <t>https://www.sjdhospitalbarcelona.org/en/news/sjd-barcelona-childrens-hospital-coordination-ern-epicare; https://epi-care.eu/; https://www.orpha.net/en/institutions/institution/588616; https://www.orpha.net/es/expert-centres/network/483644</t>
  </si>
  <si>
    <t>Dra. M. Carme Fons Estupiñà (paediatric neurologist)</t>
  </si>
  <si>
    <t>Hospital Sant Joan de Déu Barcelona – Jefa del Servicio de Neurología Pediátrica (since 2017)</t>
  </si>
  <si>
    <t>Head of the Paediatric Neurology Department listed as the REVEAL site in CTIS (individual PI not public); complex/neonatal epilepsy</t>
  </si>
  <si>
    <t>Department head — REVEAL/Aspire/TANGELO/Aldebaran site (PI unconfirmed)</t>
  </si>
  <si>
    <t>&gt;50 publications (epilepsy/neonatal neurology; not AS-specific); 10 research projects as PI/co-I (per Epiforward bio)</t>
  </si>
  <si>
    <t>Invited international lectures in paediatric/neonatal neurology (per bio; specific congress not verified)</t>
  </si>
  <si>
    <t>TIER 2 — engage — verify SJD REVEAL PI via Ionis</t>
  </si>
  <si>
    <t>https://www.sjdhospitalbarcelona.org/es/especialistas/maria-carme-fons-estupina; https://epiforward360.com/ponente/maria-del-carmen-fons-estupina/; https://ctis.eu/trial/2024-519711-33-01</t>
  </si>
  <si>
    <t>Dr. Sergio Aguilera Albesa (paediatric neurologist, MD PhD)</t>
  </si>
  <si>
    <t>Hospital Universitario de Navarra – Unidad de Neuropediatría y Patología Crónica Compleja; Head, Paediatric Neurology group Navarrabiomed; Profesor asociado UPNA</t>
  </si>
  <si>
    <t>Head of unit listed as Aldebaran (alogabat) site; SENEP national working-group coordinator (cerebral palsy, since 2023); refractory-epilepsy lead</t>
  </si>
  <si>
    <t>Unit head — Aldebaran site (PI unconfirmed)</t>
  </si>
  <si>
    <t>64 PubMed-indexed publications to 2023 (not AS-specific); clinical coordinator ISCIII PI18/00147 &amp; PI21/00103 (rare neurodegenerative disease genetics); Aldebaran NCT05630066 site</t>
  </si>
  <si>
    <t>National speaker (Epiforward); international not verified</t>
  </si>
  <si>
    <t>TIER 2 — engage — competitor-trial site lead (verify)</t>
  </si>
  <si>
    <t>https://www.navarrabiomed.es/en/directorio/aguilera-albesa-0; https://www.unavarra.es/pdi/?uid=812830&amp;dato=descripcion&amp;languageId=100000; https://epiforward360.com/ponente/sergio-aguilera/; https://forpatients.roche.com/en/trials/neurodevelopmental-disorder/angelman-syndrome/study-to-investigate-the-pharmacokinetics-and-safety-an-84203.html</t>
  </si>
  <si>
    <t>Dr. Ugo Mayor (PhD; Ikerbasque Research Professor — basic scientist, non-clinician)</t>
  </si>
  <si>
    <t>Universidad del País Vasco UPV/EHU – Neuronal Ubiquitin Pathways group (Leioa, Bizkaia)</t>
  </si>
  <si>
    <t>Leading Spanish AS/UBE3A basic scientist; FAST España scientific committee core member; UBE3A substrate/ubiquitome work (mechanism behind UBE3A-restoring ASOs)</t>
  </si>
  <si>
    <t>Romero LO…Mayor U…Cordero-Morales JF. Linoleic acid improves PIEZO2 dysfunction in a mouse model of Angelman syndrome. Nat Commun 2023;14:1167; Alduntzin U…Mayor U. UBE3A predominantly synaptic ubiquitination activity in mouse brain (Research Square 2023, senior); HERC2-linked NDD with Angelman-like features, Cell Death Discov 2026 (co-author); Elu N PhD thesis on UBE3A substrates 2022 (supervisor)</t>
  </si>
  <si>
    <t>ASA Día Internacional del Síndrome de Angelman (national); international oral not verified</t>
  </si>
  <si>
    <t>TIER 2 — engage — scientific/mechanistic advisor (non-clinical)</t>
  </si>
  <si>
    <t>https://cureangelman.es/comite-cientifico; https://www.ehu.eus/en/web/umayor/argitalpenak; https://ekoizpen-zientifikoa.ehu.eus/investigadores/126006/publicaciones?lang=en_US</t>
  </si>
  <si>
    <t>Dra. Gemma Iglesias Escalera (neuropaediatrician)</t>
  </si>
  <si>
    <t>HU Puerta de Hierro Majadahonda – Unidad de Síndrome de Angelman, Neuropediatría</t>
  </si>
  <si>
    <t>Core AS-unit neuropaediatrician; FAST España scientific committee</t>
  </si>
  <si>
    <t>Site — Spanish AS NHS (Puerta de Hierro)</t>
  </si>
  <si>
    <t>Co-author: Rev Neurol 2021;72(2):51-60; Rev Neurol 2023;76(7):217-226; Ebrat Mancilla EE…Iglesias Escalera G, Cazorla Calleja MR, López Pájaro LF. Epilepsia en el síndrome de Angelman y hallazgos EEG. Rev Neurol 2024;79(8):223-228</t>
  </si>
  <si>
    <t>None identified</t>
  </si>
  <si>
    <t>TIER 3 — monitor (engage via Puerta de Hierro unit)</t>
  </si>
  <si>
    <t>https://cureangelman.es/comite-cientifico; https://dialnet.unirioja.es/servlet/autor?codigo=3719732; https://enpapel.es/sociedad/el-hospital-puerta-de-hierro-cuenta-con-unidades-especializadas-en-el-diagnostico-de-enfermedades-poco-frecuentes/</t>
  </si>
  <si>
    <t>Dr. Julián Lara Herguedas (neuropaediatrician)</t>
  </si>
  <si>
    <t>HU Puerta de Hierro Majadahonda – Unidad de Síndrome de Angelman</t>
  </si>
  <si>
    <t>AS-unit neuropaediatrician; FAST España scientific committee</t>
  </si>
  <si>
    <t>Site — Spanish AS NHS</t>
  </si>
  <si>
    <t>Co-author Rev Neurol 2021;72(2):51-60 (EEG in AS) and Rev Neurol 2023;76(7):217-226 (adult AS)</t>
  </si>
  <si>
    <t>Dra. María Lorenzo Ruiz (neuropaediatrician)</t>
  </si>
  <si>
    <t>AS-unit neuropaediatrician; first author of the Spanish adult-AS review; FAST España scientific committee</t>
  </si>
  <si>
    <t>Lorenzo Ruiz M, Novo Ponte S, Iglesias Escalera G, Cazorla Calleja R, Lara Herguedas J, López Pájaro LF, Ruiz Antorán B. Síndrome de Angelman en el adulto. Rev Neurol 2023;76(7):217-226 (first author)</t>
  </si>
  <si>
    <t>TIER 3 — monitor — adult-AS voice</t>
  </si>
  <si>
    <t>Dra. M. Rosario Cazorla Calleja (neuropaediatrician)</t>
  </si>
  <si>
    <t>AS-unit neuropaediatrician; public spokesperson on AS diagnosis (2023); FAST España scientific committee</t>
  </si>
  <si>
    <t>Co-author Rev Neurol 2021;72(2):51-60; 2023;76(7):217-226; 2024;79(8):223-228</t>
  </si>
  <si>
    <t>Dr. Luis Fernando López Pájaro (clinical neurophysiologist)</t>
  </si>
  <si>
    <t>HU Puerta de Hierro Majadahonda – Neurofisiología Clínica</t>
  </si>
  <si>
    <t>AS EEG lead (EEG = key ASO pharmacodynamic biomarker, delta power); FAST España scientific committee</t>
  </si>
  <si>
    <t>López Pájaro LF, Ruiz Antorán MB, et al. Rev Neurol 2021;72(2):51-60 (first author, EEG in AS); co-author 2023 and 2024 (last author) Rev Neurol AS papers</t>
  </si>
  <si>
    <t>TIER 3 — monitor — EEG-biomarker expert (value for ION582 PD/EEG discussions)</t>
  </si>
  <si>
    <t>https://cureangelman.es/comite-cientifico; https://dialnet.unirioja.es/servlet/autor?codigo=3719732</t>
  </si>
  <si>
    <t>Dra. Sabela Novo Ponte (adult neurologist)</t>
  </si>
  <si>
    <t>HU Puerta de Hierro Majadahonda – Servicio de Neurología</t>
  </si>
  <si>
    <t>Adult AS follow-up within Angelman unit; FAST España scientific committee</t>
  </si>
  <si>
    <t>Co-author Lorenzo Ruiz M, Novo Ponte S, et al. Síndrome de Angelman en el adulto. Rev Neurol 2023;76(7):217-226</t>
  </si>
  <si>
    <t>TIER 3 — monitor — adult-AS (REVEAL Cohort 2 relevance)</t>
  </si>
  <si>
    <t>Dra. Enriqueta Román Riechmann (paediatric gastroenterologist)</t>
  </si>
  <si>
    <t>HU Puerta de Hierro Majadahonda – Jefa de Servicio de Pediatría</t>
  </si>
  <si>
    <t>Head of Paediatrics hosting the AS unit; FAST España scientific committee</t>
  </si>
  <si>
    <t>Institutional lead — Spanish AS NHS host service</t>
  </si>
  <si>
    <t>No AS-specific publication identified in this pass (verify)</t>
  </si>
  <si>
    <t>TIER 3 — monitor — institutional gatekeeper</t>
  </si>
  <si>
    <t>https://cureangelman.es/comite-cientifico</t>
  </si>
  <si>
    <t>Dra. Ariadna Ramírez (neuropsychologist; non-physician)</t>
  </si>
  <si>
    <t>Corporació Sanitària Parc Taulí – Unidad de Síndrome de Angelman</t>
  </si>
  <si>
    <t>Clinic coordinator/appointments contact of ASF Clinic Parc Taulí; neurodevelopmental assessment (Bayley-4/Vineland-type outcome measures used in REVEAL); FAST España scientific committee</t>
  </si>
  <si>
    <t>Site — REVEAL/Aspire assessment team (role not public)</t>
  </si>
  <si>
    <t>No AS publication identified</t>
  </si>
  <si>
    <t>TIER 3 — monitor — outcome-assessment/rater voice</t>
  </si>
  <si>
    <t>https://angelman.org/asf-clinics/parc-tauli/; https://cureangelman.es/comite-cientifico</t>
  </si>
  <si>
    <t>Dra. Neus Baena (molecular geneticist; laboratory)</t>
  </si>
  <si>
    <t>Corporació Sanitària Parc Taulí – Unitat de Genètica / laboratory</t>
  </si>
  <si>
    <t>AS molecular diagnostics lead (UBE3A/15q11-q13 genotyping relevant to REVEAL eligibility); FAST España scientific committee</t>
  </si>
  <si>
    <t>No recent AS publication identified (verify)</t>
  </si>
  <si>
    <t>TIER 3 — monitor — diagnostics/genotyping</t>
  </si>
  <si>
    <t>Dra. Carme Brun-Gasca (psychologist; non-physician)</t>
  </si>
  <si>
    <t>Corporació Sanitària Parc Taulí / Universitat Autònoma de Barcelona</t>
  </si>
  <si>
    <t>Co-founder of Parc Taulí global-care model for genetic cognitive-behavioural disorders (cited by Parc Taulí 2025 as foundational); legacy AS behavioural-phenotype author</t>
  </si>
  <si>
    <t>Artigas-Pallarés J, Brun-Gasca C, Gabau-Vila E, Guitart-Feliubadaló M, Camprubí-Sánchez C. Medical and behavioural aspects of Angelman syndrome. Rev Neurol 2005;41(11):649-56 (legacy, PMID 16317633); 2021 fragile-X papers with Roche-Martínez (senior author, e.g. Am J Med Genet A 2021;185:1448-60)</t>
  </si>
  <si>
    <t>TIER 3 — monitor — verify current activity (possible retirement)</t>
  </si>
  <si>
    <t>https://www.tauli.cat/en/actualitat/noticia/2025/03/el-parc-tauli-primer-centre-assistencial-a-lestat-reconegut-internacionalment-com-a-hospital-expert-en-labordatge-de-la-sindrome-dangelman/; https://portalrecerca.uab.cat/en/persons/ana-roche-martinez-2/</t>
  </si>
  <si>
    <t>Dra. María Muñoz (paediatric neurologist; full surname to verify)</t>
  </si>
  <si>
    <t>Hospital Universitario Virgen del Rocío, Sevilla – Área de Neurología Pediátrica</t>
  </si>
  <si>
    <t>Investigator in a Phase 1 AS ASO trial at HUVR (TANGELO, per Canal Sur May-2021)</t>
  </si>
  <si>
    <t>Site — competitor (TANGELO)</t>
  </si>
  <si>
    <t>TANGELO NCT04428281 investigator (2021 report); no AS publication identified</t>
  </si>
  <si>
    <t>TIER 3 — monitor — competitor-trial investigator (verify identity/role)</t>
  </si>
  <si>
    <t>https://www.canalsur.es/noticias/andalucia/huelva/buscan-tratamiento-sindrome-angelman_1_1141518.html; https://ichgcp.net/clinical-trials-registry/NCT04428281</t>
  </si>
  <si>
    <t>Dra. Beatriz Muñoz Cabello (paediatric neurologist)</t>
  </si>
  <si>
    <t>Hospital Universitario Virgen del Rocío, Sevilla – Jefa de Sección de Neuropediatría</t>
  </si>
  <si>
    <t>Section head of the neuropaediatric unit hosting Aspire/TANGELO; CSUR rare movement disorders expert</t>
  </si>
  <si>
    <t>Section head — Aspire/TANGELO site unit (PI unconfirmed)</t>
  </si>
  <si>
    <t>TIER 3 — monitor — institutional gatekeeper (Andalucía)</t>
  </si>
  <si>
    <t>https://hospitaluvrocio.es/historico-noticias/beatriz-munoz-cabello-nueva-jefa-de-seccion-facultativa-de-neuropediatria/; https://www.orpha.net/es/institutions/professional-or-legal-entity/689817</t>
  </si>
  <si>
    <t>Prof Jill Clayton-Smith</t>
  </si>
  <si>
    <t>Manchester Centre for Genomic Medicine, Saint Mary's Hospital / University of Manchester (verify current status)</t>
  </si>
  <si>
    <t>[Physician] Professor of Clinical Genetics; founded Manchester multidisciplinary AS clinic with ASSERT/AngelmanUK; AngelmanUK expert adviser; career-long UK AS research; ERN ITHACA founder (pre-Brexit)</t>
  </si>
  <si>
    <t>Yes — first author, Angelman Syndrome Clinical Management Guidelines (DYSCERNE, Manchester 2009) — European/UK guideline (dated)</t>
  </si>
  <si>
    <t>Manchester Angelman Syndrome Register (clinic-based) — lead</t>
  </si>
  <si>
    <t>No 2021–2026 Angelman PMID verified (live PubMed unreachable). Historic: Clayton-Smith J, Laan L. J Med Genet 2003;40:87-95; Clayton-Smith J et al. AS Clinical Management Guidelines (DYSCERNE 2009). No ION582/competitor trial role.</t>
  </si>
  <si>
    <t>Not verified in this pass (AngelmanUK family-conference workshops = national)</t>
  </si>
  <si>
    <t>TIER 2 — high value — national anchor / UK guideline author (advisory-board core) — verify current status</t>
  </si>
  <si>
    <t>https://www.angelmanuk.org/about/experts/; https://www.mangen.co.uk/specialist-clinics/developmental-disorders/angelman-syndrome/; https://difusion.ulb.ac.be/vufind/Record/ULB-DIPOT:oai:dipot.ulb.ac.be:2013/185831/Details; https://jmg.bmj.com/content/40/2/87</t>
  </si>
  <si>
    <t>Prof Laurent Servais</t>
  </si>
  <si>
    <t>University of Oxford, Department of Paediatrics (STRONG / MDUK Oxford Neuromuscular Centre); Oxford University Hospitals NHS FT; Invited Professor, Liège University</t>
  </si>
  <si>
    <t>[Physician] Professor of Paediatric Neuromuscular Diseases; Academic Director, Paediatric CRF; Chief Investigator Oxford AS Natural History Study; UK contact for GTX-102 Ph1/2; leads STRONG group (HALOS UK site)</t>
  </si>
  <si>
    <t>Coordinator (Chief Investigator) — Oxford AS Natural History Study (FAST UK)</t>
  </si>
  <si>
    <t>ION582 HALOS NCT05127226 — UK site 'STRONG Group University of Oxford' (role inferred as group lead — verify site PI); REVEAL NCT06914609 Oxford (John Radcliffe) site (PI not public); GTX-102 Ph1/2 NCT04259281 — HRA UK contact (IRAS 299037). Extensive SMA/DMD trial PI record; AS-specific peer-reviewed papers not verified. No 2021–2026 AS PMID verified.</t>
  </si>
  <si>
    <t>Not verified for AS (SMA newborn-screening advocacy — national)</t>
  </si>
  <si>
    <t>TIER 2 — high value — ION582 site lead (Oxford) + ex-competitor (GTX-102) investigator — verify disclosures</t>
  </si>
  <si>
    <t>https://strong.paediatrics.ox.ac.uk/our-team/laurent-servais; https://strong.paediatrics.ox.ac.uk/about; https://cureangelman.org.uk/our-work/oxford-natural-history-study/; https://www.hra.nhs.uk/planning-and-improving-research/application-summaries/research-summaries/a-phase-12-study-of-gtx-102-in-paediatric-patients-with-as/; https://eichor.com/study/NCT05127226</t>
  </si>
  <si>
    <t>Prof Chris Oliver</t>
  </si>
  <si>
    <t>Cerebra Centre for Neurodevelopmental Disorders, School of Psychology, University of Birmingham (verify emeritus status)</t>
  </si>
  <si>
    <t>[Non-physician — psychologist/researcher] Behavioural-phenotype researcher (psychologist, non-physician); senior author on AS behaviour studies; work cited in UK AS guideline behaviour section</t>
  </si>
  <si>
    <t>No (cited source in UK guideline, not author)</t>
  </si>
  <si>
    <t>Heald M, Adams D, Walls E, Oliver C. Front Behav Neurosci 2021;15:618271 (PMID 33664655 — verified 2021 UK AS paper, last author); Trickett J, Oliver C, … Richards C. Front Psychiatry 2019;10:874 (PMID 31849727)</t>
  </si>
  <si>
    <t>TIER 2 — engage — behaviour/COA endpoint voice (non-physician) — verify current role</t>
  </si>
  <si>
    <t>https://pmc.ncbi.nlm.nih.gov/articles/PMC7921159/; https://research.birmingham.ac.uk/en/publications/multi-method-assessment-of-sleep-in-children-with-angelman-syndro/; https://citycollegelibrary.org/wp-content/uploads/2025/12/263_Angelman_Guidelines.pdf</t>
  </si>
  <si>
    <t>Prof Siddharth Banka</t>
  </si>
  <si>
    <t>Manchester Centre for Genomic Medicine, Saint Mary's Hospital / University of Manchester</t>
  </si>
  <si>
    <t>[Physician] Consultant Clinical Geneticist; listed specialist clinics include Angelman syndrome; member of MRCC AS clinic MDT</t>
  </si>
  <si>
    <t>No (Manchester AS clinic MDT member)</t>
  </si>
  <si>
    <t>No AS-specific publication or AS trial role verified (prolific clinical-genetics researcher — chromatin disorders).</t>
  </si>
  <si>
    <t>Not verified for AS</t>
  </si>
  <si>
    <t>TIER 2 — engage — Manchester AS clinic co-lead / genomics</t>
  </si>
  <si>
    <t>https://www.mangen.co.uk/healthcare-professionals/clinical-genomic-services/developmental-disorders/; https://www.mrcc.org.uk/clinical-diagnostics/other-specialist-clinical-services/angelman-syndrome-clinic/</t>
  </si>
  <si>
    <t>Prof Caroline Richards</t>
  </si>
  <si>
    <t>School of Psychology, University of Birmingham (Cerebra network)</t>
  </si>
  <si>
    <t>[Non-physician — psychologist/researcher] Professor of Neurodevelopmental Conditions; senior author of largest objective AS sleep dataset; sleep/behaviour in genetic syndromes</t>
  </si>
  <si>
    <t>Trickett J … Gringras P, Richards C. Multi-method assessment of sleep in children with AS. Front Psychiatry 2019;10:874 (last author; PMID 31849727); Trickett J et al. cross-syndrome sleep incl. AS, J Neurodev Disord 2018;10:9</t>
  </si>
  <si>
    <t>TIER 2 — engage — sleep/behaviour endpoint voice (non-physician)</t>
  </si>
  <si>
    <t>https://scholar.google.com/citations?user=uDVDrEwAAAAJ&amp;hl=en; https://research.birmingham.ac.uk/en/publications/multi-method-assessment-of-sleep-in-children-with-angelman-syndro/</t>
  </si>
  <si>
    <t>Dr Usha Kini</t>
  </si>
  <si>
    <t>Oxford University Hospitals NHS Foundation Trust (Oxford Centre for Genomic Medicine)</t>
  </si>
  <si>
    <t>[Physician] Consultant Clinical Geneticist; Principal Investigator, Oxford AS Natural History Study</t>
  </si>
  <si>
    <t>PI — Oxford AS Natural History Study (FAST UK)</t>
  </si>
  <si>
    <t>No AS peer-reviewed paper verified; REVEAL/HALOS Oxford role not public — verify.</t>
  </si>
  <si>
    <t>TIER 3 — monitor → upgrade candidate (ION582-relevant: Oxford natural-history PI, REVEAL site centre)</t>
  </si>
  <si>
    <t>https://cureangelman.org.uk/our-work/oxford-natural-history-study/</t>
  </si>
  <si>
    <t>Prof Paul Gringras</t>
  </si>
  <si>
    <t>Evelina London Children's Sleep Medicine Department, Guy's and St Thomas' NHS FT (verify current role)</t>
  </si>
  <si>
    <t>[Physician] Paediatric sleep physician; co-author AS sleep actigraphy study</t>
  </si>
  <si>
    <t>Trickett J … Gringras P, Richards C. Front Psychiatry 2019;10:874 (PMID 31849727)</t>
  </si>
  <si>
    <t>TIER 3 — monitor — sleep-medicine voice</t>
  </si>
  <si>
    <t>https://colab.ws/articles/10.3389%2Ffpsyt.2019.00874</t>
  </si>
  <si>
    <t>Dr Catherine Breen</t>
  </si>
  <si>
    <t>Manchester Centre for Genomic Medicine, Saint Mary's Hospital (MFT)</t>
  </si>
  <si>
    <t>[Physician] Consultant Clinical Geneticist (since 2017); Clinic Lead, Manchester Angelman Syndrome Clinic (national referral point); runs Rett clinic</t>
  </si>
  <si>
    <t>Clinic lead — Manchester AS clinic/register (operational)</t>
  </si>
  <si>
    <t>No AS publication verified.</t>
  </si>
  <si>
    <t>TIER 3 — operational must-reach (national AS clinic lead; patient pathway &amp; referrals)</t>
  </si>
  <si>
    <t>https://www.mrcc.org.uk/clinical-diagnostics/other-specialist-clinical-services/angelman-syndrome-clinic/; https://www.angelmanuk.org/support/clinic/; https://www.mangen.co.uk/healthcare-professionals/clinical-genomic-services/developmental-disorders/</t>
  </si>
  <si>
    <t>Dr Dan Hindley</t>
  </si>
  <si>
    <t>Bolton (Bolton NHS FT; secondary care) — Manchester AS Clinic MDT</t>
  </si>
  <si>
    <t>[Physician] Consultant Paediatrician, childhood epilepsy &amp; neurodisability; AS clinic epilepsy input</t>
  </si>
  <si>
    <t>TIER 3 — monitor — AS epilepsy clinical voice</t>
  </si>
  <si>
    <t>https://www.mrcc.org.uk/clinical-diagnostics/other-specialist-clinical-services/angelman-syndrome-clinic/; https://www.angelmanuk.org/about/experts/</t>
  </si>
  <si>
    <t>Dr Jane Waite</t>
  </si>
  <si>
    <t>Aston University (Institute of Health &amp; Neurodevelopment) — Manchester AS Clinic MDT</t>
  </si>
  <si>
    <t>[Non-physician — psychologist/researcher] Clinical psychologist (since 2010), rare syndromes/ID mental health; AS clinic psychologist</t>
  </si>
  <si>
    <t>AS-specific paper not verified (co-author network with Richards/Oliver).</t>
  </si>
  <si>
    <t>TIER 3 — monitor — behaviour/mental-health voice (non-physician)</t>
  </si>
  <si>
    <t>https://www.mrcc.org.uk/clinical-diagnostics/other-specialist-clinical-services/angelman-syndrome-clinic/; https://scholar.google.com/citations?user=uDVDrEwAAAAJ&amp;hl=en</t>
  </si>
  <si>
    <t>Dr Mary Heald</t>
  </si>
  <si>
    <t>Cerebra Centre, University of Birmingham / Forward Thinking Birmingham (BWC)</t>
  </si>
  <si>
    <t>[Non-physician — psychologist/researcher] Researcher/psychologist; first author AS behavioural phenotype 2021</t>
  </si>
  <si>
    <t>Heald M et al. Front Behav Neurosci 2021;15:618271 (first author, PMID 33664655); co-author Front Psychiatry 2019;10:874</t>
  </si>
  <si>
    <t>https://pmc.ncbi.nlm.nih.gov/articles/PMC7921159/; https://doaj.org/article/6fdb3ab1e55c4c2f9932c00ad98c1c89</t>
  </si>
  <si>
    <t>Dr Jayne Trickett</t>
  </si>
  <si>
    <t>University of Leicester, Department of Health Sciences (formerly Cerebra Centre, Birmingham)</t>
  </si>
  <si>
    <t>[Non-physician — psychologist/researcher] Researcher; first author AS sleep studies</t>
  </si>
  <si>
    <t>Trickett J et al. Front Psychiatry 2019;10:874 (first author); Trickett J et al. J Neurodev Disord 2018;10:9 (cross-syndrome sleep incl. AS)</t>
  </si>
  <si>
    <t>TIER 3 — monitor — verify current affiliation</t>
  </si>
  <si>
    <t>https://doaj.org/article/6fdb3ab1e55c4c2f9932c00ad98c1c89; https://scholar.google.com/citations?user=uDVDrEwAAAAJ&amp;hl=en</t>
  </si>
  <si>
    <t>Dr Diana Gay Wellesley</t>
  </si>
  <si>
    <t>Wessex Clinical Genetics Service, University Hospital Southampton NHS FT (Princess Anne Hospital)</t>
  </si>
  <si>
    <t>[Physician] Consultant clinical geneticist; UK co-author (penultimate) of EUROlinkCAT AS/PWS health-outcomes study</t>
  </si>
  <si>
    <t>No (EUROlinkCAT congenital-anomaly registry linkage co-author)</t>
  </si>
  <si>
    <t>Abate MV, …, Wellesley DG, Morris JK. Health outcomes of children with Prader-Willi or Angelman syndromes: a European population-based multicentre study. Arch Dis Child 2025;110(11):899-904. doi:10.1136/archdischild-2025-328786; PMID 40484454 (verified 2021–2026 UK-affiliated AS paper)</t>
  </si>
  <si>
    <t>TIER 3 — monitor — RWE/epidemiology voice (Wessex)</t>
  </si>
  <si>
    <t>https://adc.bmj.com/content/110/11/899; https://pure.ulster.ac.uk/ws/portalfiles/portal/221906804/Prader-Willi_Angelman_syndrome_-_accepted_version.pdf</t>
  </si>
  <si>
    <t>Prof Joan K Morris</t>
  </si>
  <si>
    <t>School of Health and Medical Sciences, City St George's, University of London</t>
  </si>
  <si>
    <t>[Non-physician — epidemiologist/statistician] Senior (last) author of EUROlinkCAT AS/PWS health-outcomes study</t>
  </si>
  <si>
    <t>Abate MV, …, Wellesley DG, Morris JK. Health outcomes of children with Prader-Willi or Angelman syndromes: a European population-based multicentre study. Arch Dis Child 2025;110(11):899-904. doi:10.1136/archdischild-2025-328786; PMID 40484454 (verified 2021–2026 UK-affiliated AS paper) — last author</t>
  </si>
  <si>
    <t>TIER 3 — monitor — RWE/registry-linkage methods partner</t>
  </si>
  <si>
    <t>https://adc.bmj.com/content/110/11/899; https://pure.ulster.ac.uk/ws/portalfiles/portal/221906804/Prader-Willi_Angelman_syndrome_-_accepted_version.pdf; https://discovery.ucl.ac.uk/id/eprint/10209797/</t>
  </si>
  <si>
    <t>Andrew Surtees</t>
  </si>
  <si>
    <t>[Non-physician — psychologist/researcher] Clinical psychologist/researcher; AS sleep co-author</t>
  </si>
  <si>
    <t>Co-author Front Psychiatry 2019;10:874</t>
  </si>
  <si>
    <t>https://doaj.org/article/6fdb3ab1e55c4c2f9932c00ad98c1c89</t>
  </si>
  <si>
    <t>Jenny Pemberton</t>
  </si>
  <si>
    <t>Speech and language therapist (Yorkshire) — Manchester AS Clinic MDT since 2016</t>
  </si>
  <si>
    <t>[Allied health — speech &amp; language therapist; non-physician] AS clinic SLT — communication (REVEAL primary endpoint domain = communication)</t>
  </si>
  <si>
    <t>No publication verified.</t>
  </si>
  <si>
    <t>TIER 3 — monitor — communication/AAC allied-health voice</t>
  </si>
  <si>
    <t>Hayley Denyer</t>
  </si>
  <si>
    <t>UCL Great Ormond Street Institute of Child Health (per 2019 affiliation — verify)</t>
  </si>
  <si>
    <t>[Non-physician — psychologist/researcher] Researcher; AS sleep co-author</t>
  </si>
  <si>
    <t>TIER 3 — monitor — verify current affiliation (GOSH link)</t>
  </si>
  <si>
    <t>Tier_Counts — centres and KOLs by country × tier (all counts are live COUNTIFS on Country_Centres / KOL_Roster)</t>
  </si>
  <si>
    <t>A. CENTRES × COUNTRY × TIER</t>
  </si>
  <si>
    <t>Tier 1</t>
  </si>
  <si>
    <t>Tier 2</t>
  </si>
  <si>
    <t>Tier 3</t>
  </si>
  <si>
    <t>Tier 4</t>
  </si>
  <si>
    <t>Total enumerated</t>
  </si>
  <si>
    <t>Tier 4: not enumerated — not requested. France's national P1 anchor is Pitié-Salpêtrière (PNDS 2021). Its trial anchors are Necker (ION582 HALOS coordinating centre, plus GTX-102) and Timone (GTX-102 Ph1/2 and LTE coordination). Neither hosts REVEAL. KOL scores stay low pending a verified PubMed sweep.</t>
  </si>
  <si>
    <t>Tier 4: not enumerated — not requested. Germany's AS care is concentrated in three Angelman e.V./ASF-recognised centres: Munich (paediatric; first EU REVEAL site), Leipzig (paediatric + national AS registry) and Aachen (adults). Diagnostic leadership sits in Essen (EMQN/ACGS and AWMF guideline authors). Tier 1 rests partly on national-analogue pillars because no German clinician authored the 2022 international consensus and none of the three AS centres is an ERN ITHACA HCP. ERN ITHACA/EpiCARE HCPs without AS activity are placed in Tiers 2–3.</t>
  </si>
  <si>
    <t>Tier 4: not enumerated — not requested. Italy has no national AS guideline, but it has one national patient-reported registry (RISA, FROM Bergamo; 82 pts; PMID 38930051). Because no centre qualifies on P1, Tier 1 rests on P3 national-cohort coordination: only Besta qualifies, as the FAST Italia AS Biobank lead plus REVEAL/Aurora site. Obudanersen's real Italian evidence base is the REVEAL/HALOS cluster at Besta, Pisa (Stella Maris/AOU Pisana), OPBG and Medea Conegliano. Competitor Aurora sites (Meyer, Gemelli, Besta) are in the same tier. A long tail of OR.S.A.-listed child-neuropsychiatry/epilepsy services and ERN ITHACA/EpiCARE HCPs makes up Tier 2–3.</t>
  </si>
  <si>
    <t>Tier 4: not enumerated — not requested. Spain has two monographic AS units — Parc Taulí (Sabadell; ASF clinic; first Spanish REVEAL site) and Puerta de Hierro (Majadahonda; national AS natural-history coordinator) — plus SJD Barcelona (REVEAL site; ERN ITHACA+EpiCARE coordinator). No centre meets strict Tier 1 because there is no Spanish P1 guideline author and the two AS units are not ERN ITHACA/EpiCARE members; treat Parc Taulí and Puerta de Hierro as Tier-1-equivalent national anchors. Care is concentrated (chronic disease) — Tier 3 ERN/university hospitals matter mainly for referral and future IT-ASO capacity.</t>
  </si>
  <si>
    <t>Tier 4: not enumerated — not requested. After follow-up verification UK has one Tier 1 anchor — Oxford (ION582 HALOS+REVEAL site, ex-GTX-102 site, national natural-history coordinator) — with Manchester (UK's only specialist AS clinic, 2009 guideline lead, AS register) provisionally Tier 2 pending confirmation of 2021–2026 publications, alongside GOSH (REVEAL site), Cambridge (ex-GTX-102 site) and the Birmingham behaviour/sleep hub. P4 = N/A (post-Brexit); tiering uses national leadership, registry and trial signal. No UK KOL reaches Tier 1 by score.</t>
  </si>
  <si>
    <t>TOTAL (EU4+UK)</t>
  </si>
  <si>
    <t>B. KOLs × COUNTRY × TIER (KOL Tier for TOV, formula-driven from Total score)</t>
  </si>
  <si>
    <t>19 named KOLs (minimum 15 per country met). Highest total score 22/30 (Pr Rima Nabbout). No KOL reaches Tier 1 (24–30): publication/speaker scores use the evidence floor because live PubMed access was unavailable — re-score after a PubMed author sweep.</t>
  </si>
  <si>
    <t>20 named KOLs (minimum 15 per country met). Highest total score 14/30 (Dr. rer. nat. Jasmin Beygo). No KOL reaches Tier 1 (24–30): publication/speaker scores use the evidence floor because live PubMed access was unavailable — re-score after a PubMed author sweep.</t>
  </si>
  <si>
    <t>23 named KOLs (minimum 15 per country met). Highest total score 18/30 (Prof.ssa Roberta Battini). No KOL reaches Tier 1 (24–30): publication/speaker scores use the evidence floor because live PubMed access was unavailable — re-score after a PubMed author sweep.</t>
  </si>
  <si>
    <t>18 named KOLs (minimum 15 per country met). Highest total score 20/30 (Dra. Ana Roche Martínez (MD, PhD; neuropaediatrician)). No KOL reaches Tier 1 (24–30): publication/speaker scores use the evidence floor because live PubMed access was unavailable — re-score after a PubMed author sweep.</t>
  </si>
  <si>
    <t>17 named KOLs (minimum 15 per country met). Highest total score 22/30 (Prof Jill Clayton-Smith). No KOL reaches Tier 1 (24–30): publication/speaker scores use the evidence floor because live PubMed access was unavailable — re-score after a PubMed author sweep. Only 8 of 17 named KOLs are physicians (see Verification_Flags).</t>
  </si>
  <si>
    <t>C. CROSS-CUTS — CENTRES (COUNTIF/COUNTIFS with wildcards on Country_Centres P-columns)</t>
  </si>
  <si>
    <t>Cross-cut (criterion)</t>
  </si>
  <si>
    <t>Centres hosting a P1 guideline author (P1 starts "Yes")</t>
  </si>
  <si>
    <t>Centres with P2 publication / trial authorship (P2 starts "Yes")</t>
  </si>
  <si>
    <t xml:space="preserve">  …of which with ION582 (obudanersen) trial signal (P2 "Yes" and contains "ION582")</t>
  </si>
  <si>
    <t xml:space="preserve">  …of which with competitor-trial signal (P2 "Yes" and contains competitor / apazunersen / GTX-102 / rugonersen / Aspire)</t>
  </si>
  <si>
    <t>Centres with a P3 coordinator role (P3 contains "Coordinator")</t>
  </si>
  <si>
    <t>Centres listed as P3 sites (P3 contains "Site", excluding "No…" entries)</t>
  </si>
  <si>
    <t>Centres that are P4 ERN ITHACA / EpiCARE HCPs (P4 starts "Yes")</t>
  </si>
  <si>
    <t>Centres with an explicit P5 Angelman programme (P5 = "Yes*")</t>
  </si>
  <si>
    <t>D. CROSS-CUTS — KOLs (COUNTIFS / SUMPRODUCT on KOL_Roster score and signal columns)</t>
  </si>
  <si>
    <t>KOLs with guideline publications (Guideline score ≥3 OR P1 column starts "Yes")</t>
  </si>
  <si>
    <t>KOLs with clinical-trial roles (Clinical-trials score ≥3)</t>
  </si>
  <si>
    <t>KOLs with disease publications (Publications score ≥3)</t>
  </si>
  <si>
    <t>KOLs with an international presentation / meeting signal (column not blank, not "No…/None…/Not…", not "international … not verified")</t>
  </si>
  <si>
    <t>KOLs flagged as competitor-trial investigators (Engagement priority contains "competitor")</t>
  </si>
  <si>
    <t>Infrastructure — Angelman syndrome diagnostic, assessment &amp; treatment requirements mapped to centre tiers (incl. obudanersen IT-ASO overlay)</t>
  </si>
  <si>
    <t>Domain</t>
  </si>
  <si>
    <t>Capability</t>
  </si>
  <si>
    <t>Minimum requirement</t>
  </si>
  <si>
    <t>Typical Tier 1-2 coverage</t>
  </si>
  <si>
    <t>Notes / failure modes</t>
  </si>
  <si>
    <t>DIAGNOSTICS</t>
  </si>
  <si>
    <t>Diagnostics</t>
  </si>
  <si>
    <t>Methylation analysis of 15q11.2-q13 (MS-MLPA / methylation-specific PCR)</t>
  </si>
  <si>
    <t>Access to accredited genetics lab offering MS-MLPA; detects deletion, UPD and imprinting defects</t>
  </si>
  <si>
    <t>Universal at Tier 1-2 (in-house or regional genetics lab)</t>
  </si>
  <si>
    <t>Normal methylation does not exclude AS (UBE3A variants); failure mode = stopping work-up after normal methylation.</t>
  </si>
  <si>
    <t>Deletion sizing (class I vs II) / CMA; UPD studies (parental microsatellite/SNP); imprinting-centre analysis</t>
  </si>
  <si>
    <t>CMA + parental samples; IC deletion testing for recurrence counselling</t>
  </si>
  <si>
    <t>Tier 1 routine; Tier 2 variable (send-out)</t>
  </si>
  <si>
    <t>Genotype matters: deletion = most severe phenotype (Bindels-de Heus 2020); UPD/ID distinction needed for CHAMPION eligibility (central or qualified local geneticist confirmation).</t>
  </si>
  <si>
    <t>UBE3A sequencing (NGS panel/exome) for methylation-normal cases</t>
  </si>
  <si>
    <t>Clinical NGS with UBE3A coverage + variant interpretation</t>
  </si>
  <si>
    <t>Tier 1-2 via clinical genetics</t>
  </si>
  <si>
    <t>Minority genotype; REVEAL includes UBE3A mutation; Aspire excluded it (deletion only).</t>
  </si>
  <si>
    <t>Genetic-subtype gating of trial/treatment eligibility</t>
  </si>
  <si>
    <t>Documented molecular genotype in record</t>
  </si>
  <si>
    <t>Tier 1-2 hold genotype; older adults often undocumented</t>
  </si>
  <si>
    <t>REVEAL = deletion or UBE3A mutation only; CHAMPION = UPD/ID only. Undocumented genotype in adults/legacy diagnoses is the main screen-failure driver → re-testing capacity required.</t>
  </si>
  <si>
    <t>Clinical diagnosis per Williams 2006 consensus criteria; EEG pattern</t>
  </si>
  <si>
    <t>Clinician familiar with consistent/frequent/associated features; paediatric EEG</t>
  </si>
  <si>
    <t>Universal at Tier 1-2</t>
  </si>
  <si>
    <t>Characteristic EEG (high-amplitude rhythmic delta) supports diagnosis; misdiagnosis as autism/CP delays testing (Mertz 2013: later diagnosis in non-deletion).</t>
  </si>
  <si>
    <t>SEVERITY ASSESSMENT</t>
  </si>
  <si>
    <t>Severity assessment</t>
  </si>
  <si>
    <t>Bayley-4 (cognition, receptive/expressive communication, gross/fine motor)</t>
  </si>
  <si>
    <t>Trained psychologist/rater; standardised administration</t>
  </si>
  <si>
    <t>Tier 1 research centres; Tier 2 limited</t>
  </si>
  <si>
    <t>REVEAL primary endpoint = Bayley-4 expressive communication; Aspire primary = Bayley-4 cognition. Rater training/reliability a key operational risk (Aspire failed on Bayley-4 cognition).</t>
  </si>
  <si>
    <t>Vineland-3 adaptive behaviour</t>
  </si>
  <si>
    <t>Caregiver interview by trained rater</t>
  </si>
  <si>
    <t>Tier 1 routine in research; Tier 2 variable</t>
  </si>
  <si>
    <t>Used in HALOS and Aspire secondaries; language-validated versions needed per country.</t>
  </si>
  <si>
    <t>AS-specific global scales (SAS-CGI-S/C, CGI-I-AS) and Angelman Severity Assessment (ASA)</t>
  </si>
  <si>
    <t>Clinician trained on AS-anchored CGI</t>
  </si>
  <si>
    <t>Trial sites only</t>
  </si>
  <si>
    <t>SAS-CGI-C drove HALOS headline (97%); gaboxadol failed on CGI-I-AS — scale sensitivity/placebo response caveat.</t>
  </si>
  <si>
    <t>Observer-Reported Communication Ability (ORCA) &amp; caregiver PROs</t>
  </si>
  <si>
    <t>eCOA/caregiver-report infrastructure</t>
  </si>
  <si>
    <t>Trial sites</t>
  </si>
  <si>
    <t>ORCA used in HALOS; translation/cultural validation for EU languages.</t>
  </si>
  <si>
    <t>Sleep assessment (diaries, actigraphy) and seizure diaries</t>
  </si>
  <si>
    <t>Sleep clinic / actigraphy; structured seizure diary</t>
  </si>
  <si>
    <t>Tier 1 neuropaediatrics/sleep services</t>
  </si>
  <si>
    <t>Sleep and seizures are top caregiver burdens; prerequisite for stable baseline (REVEAL requires ≥8 weeks stable concomitant meds).</t>
  </si>
  <si>
    <t>Quantitative EEG delta-power biomarker</t>
  </si>
  <si>
    <t>Research-grade EEG acquisition + central quantitative analysis</t>
  </si>
  <si>
    <t>Tier 1 research centres</t>
  </si>
  <si>
    <t>HALOS reported reduction in slow-wave delta activity; rugonersen showed partial EEG normalisation; not yet a validated surrogate.</t>
  </si>
  <si>
    <t>TREATMENT</t>
  </si>
  <si>
    <t>Treatment (SoC)</t>
  </si>
  <si>
    <t>Anti-seizure medication management incl. NCSE recognition</t>
  </si>
  <si>
    <t>Paediatric epileptologist; EEG/video-EEG</t>
  </si>
  <si>
    <t>Tier 1-2 (EpiCARE HCPs)</t>
  </si>
  <si>
    <t>High NCSE rate in AS (Bindels-de Heus 2020); ASM selection per Duis 2022 neurology section.</t>
  </si>
  <si>
    <t>Sleep management, behaviour, GI/feeding, orthopaedics</t>
  </si>
  <si>
    <t>Multidisciplinary clinic (Duis 2022 consensus domains)</t>
  </si>
  <si>
    <t>Tier 1 full MDT; Tier 2 partial</t>
  </si>
  <si>
    <t>Duis 2022 consensus covers genetics, neurology, sleep, psychiatry, orthopaedics, ophthalmology, communication, therapies, caregiver health.</t>
  </si>
  <si>
    <t>AAC / communication therapy; PT/OT</t>
  </si>
  <si>
    <t>Speech &amp; language therapist with AAC expertise; PT/OT</t>
  </si>
  <si>
    <t>Variable — often community-based</t>
  </si>
  <si>
    <t>Expressive communication is REVEAL primary endpoint → AAC-competent SLT input is both SoC and endpoint-relevant.</t>
  </si>
  <si>
    <t>Treatment — MOST DIFFERENTIATING</t>
  </si>
  <si>
    <t>Repeat intrathecal ASO administration via lumbar puncture in a non-verbal, often uncooperative paediatric AND adult population</t>
  </si>
  <si>
    <t>Paediatric day-unit or procedural suite; procedural sedation/GA without intubation (REVEAL/CHAMPION criterion); anaesthesia team experienced with ID/behaviour; imaging (fluoroscopy/US) for difficult spines; CSF sampling; post-LP monitoring; pharmacy handling of IT product</t>
  </si>
  <si>
    <t>Nusinersen-experienced paediatric neurology / SMA centres (Tier 1-2) — but adult AS administration capacity is thin</t>
  </si>
  <si>
    <t>Scoliosis/spinal anatomy, obesity/hyperphagia, behavioural distress and seizures complicate LP; Ionis required each REVEAL site to self-certify capability for Cohort 1, Cohort 2 or both — adult-capable sites are fewer. EU sham-skin-prick control still requires full procedural set-up. Lifelong quarterly IT dosing = chronic procedural load.</t>
  </si>
  <si>
    <t>Treatment — benchmark</t>
  </si>
  <si>
    <t>Nusinersen (SPINRAZA) IT delivery footprint</t>
  </si>
  <si>
    <t>Doctor/nurse experienced in IT injection; sedation as needed (EMA EPAR)</t>
  </si>
  <si>
    <t>Established at SMA treatment centres across EU4+UK since 2017</t>
  </si>
  <si>
    <t>Same Ionis IT-ASO paradigm; SMA centres already run repeat-LP lists, sedation pathways and difficult-spine imaging — directly transferable, though SMA vs AS behaviour/anaesthesia profiles differ.</t>
  </si>
  <si>
    <t>REHABILITATION / CHRONIC MANAGEMENT</t>
  </si>
  <si>
    <t>Rehabilitation / chronic management</t>
  </si>
  <si>
    <t>Multidisciplinary AS clinic (paediatric)</t>
  </si>
  <si>
    <t>Named AS/ID clinic with genetics, neurology, behaviour, sleep, therapies</t>
  </si>
  <si>
    <t>Tier 1 (e.g. national expertise centres; ASF International Clinic Network partner Erasmus MC in NL)</t>
  </si>
  <si>
    <t>Few dedicated AS clinics in EU4+UK; most care in broader ID/neurogenetics/epilepsy programmes (P5 'Partial').</t>
  </si>
  <si>
    <t>Transition to adult care</t>
  </si>
  <si>
    <t>Adult neurology/ID service accepting AS; transition protocol</t>
  </si>
  <si>
    <t>Weak across EU4+UK</t>
  </si>
  <si>
    <t>REVEAL Cohort 2 (18–50 y) and any label covering adults require adult LP/sedation capacity — major gap.</t>
  </si>
  <si>
    <t>FUTURE-STATE — ASSET OVERLAY (obudanersen)</t>
  </si>
  <si>
    <t>Future-state (a)</t>
  </si>
  <si>
    <t>Obudanersen administration capability &amp; infrastructure argument</t>
  </si>
  <si>
    <t>IT-ASO-ready site: procedural sedation, LP list capacity every ~12 weeks, genotype-confirmed cohort</t>
  </si>
  <si>
    <t>Nusinersen-experienced paediatric neurology centres = ready-made IT-ASO footprint; addressable centre base ≈ SMA treatment centres + AS/ID expertise centres</t>
  </si>
  <si>
    <t>Obudanersen is infrastructure-HEAVIER than oral SoC (ASMs, sleep meds) but uses an existing, reimbursed IT-ASO pathway (nusinersen/tofersen); no loading regimen (quarterly from start) vs nusinersen loading — lighter than SMA initiation. Positioning: 'plug into SMA IT infrastructure, add AS expertise'.</t>
  </si>
  <si>
    <t>Future-state (b)</t>
  </si>
  <si>
    <t>RWE-registry participation</t>
  </si>
  <si>
    <t>Consent + data entry capacity for Global AS Registry, LADDER (ASF International Clinic Network/Erasmus, from Jan-2026), national registries (e.g. Italian RISA registry, FROM Bergamo)</t>
  </si>
  <si>
    <t>Tier 1 participate; Tier 2 sporadic</t>
  </si>
  <si>
    <t>Post-approval RWE/managed-access will require structured outcome capture (Bayley-4/Vineland/ORCA) — few EU centres have dedicated research coordinators for AS.</t>
  </si>
  <si>
    <t>Future-state (c)</t>
  </si>
  <si>
    <t>Trial-readiness after Aspire failure</t>
  </si>
  <si>
    <t>Sites with prior UBE3A-ATS ASO experience (GTX-102/Aspire/TANGELO) and trained raters</t>
  </si>
  <si>
    <t>ES (Parc Taulí, SJD, Puerta de Hierro, Virgen del Rocío), DE (UKE, Leipzig, LMU), UK (GOSH, Oxford, Cambridge), FR (Necker, Timone)</t>
  </si>
  <si>
    <t>Ex-Aspire sites have idle IT-ASO capacity and trained raters → high-value for CHAMPION EU expansion / REVEAL LTE / early access; but family &amp; investigator sentiment post-Aspire must be managed.</t>
  </si>
  <si>
    <t>Sources_Caveats — authoritative sources (150, de-duplicated; every URL clickable) + caveats + asset &amp; competitor trial footprint</t>
  </si>
  <si>
    <t>Authoritative source</t>
  </si>
  <si>
    <t>URL / reference</t>
  </si>
  <si>
    <t>What it provides</t>
  </si>
  <si>
    <t>Duis J et al. A multidisciplinary approach and consensus statement to establish standards of care for Angelman syndrome. Mol Genet Genomic Med 2022;10(3):e1843. doi:10.1002/mgg3.1843; PMID 35150089; PMCID PMC8922964</t>
  </si>
  <si>
    <t>P1 international consensus standards of care; author list (US + NL/BE/AU/CA)</t>
  </si>
  <si>
    <t>HAS / CRMR Déficiences intellectuelles de causes rares. PNDS Syndrome d'Angelman (online 1-Dec-2021)</t>
  </si>
  <si>
    <t>P1 French national guideline (PNDS, synthèse, argumentaire)</t>
  </si>
  <si>
    <t>Williams CA et al. Angelman syndrome 2005: updated consensus for diagnostic criteria. Am J Med Genet A 2006;140(5):413-418. doi:10.1002/ajmg.a.31074; PMID 16470747</t>
  </si>
  <si>
    <t>Clinical diagnostic criteria; EU co-authors (Clayton-Smith UK, Moncla FR, Laan NL, Kyllerman SE)</t>
  </si>
  <si>
    <t>Mertz LGB et al. Angelman syndrome in Denmark: birth incidence, genetic findings, and age at diagnosis. Am J Med Genet A 2013;161A(9):2197-2203. doi:10.1002/ajmg.a.36058; PMID 23913711</t>
  </si>
  <si>
    <t>European epidemiology: birth incidence 1:24,580; genotype split; age at diagnosis</t>
  </si>
  <si>
    <t>Bindels-de Heus KGCB et al. An overview of health issues and development in a large clinical cohort of children with Angelman syndrome. Am J Med Genet A 2020;182(1):53-63. doi:10.1002/ajmg.a.61382; PMID 31729827</t>
  </si>
  <si>
    <t>European natural-history cohort (ENCORE, Erasmus MC; n=100); NCSE, crouch gait, genotype–phenotype</t>
  </si>
  <si>
    <t>Keute M et al. Angelman syndrome genotypes manifest varying degrees of clinical severity and developmental impairment. Mol Psychiatry 2021;26(7):3625-3633 (DOI listed on Ionis obudanersen publications page)</t>
  </si>
  <si>
    <t>Genotype severity (listed in Ionis obudanersen publications page)</t>
  </si>
  <si>
    <t>ClinicalTrials.gov NCT06914609 — REVEAL Phase 3 obudanersen (EU CT 2024-519711-33-00)</t>
  </si>
  <si>
    <t>Design, 80 mg arm, cohorts, status, 41 locations incl. EU4+UK</t>
  </si>
  <si>
    <t>ClinicalTrials.gov NCT05127226 — HALOS Phase 1/2 ION582</t>
  </si>
  <si>
    <t>Phase 1/2 design and sites (mirror: eichor.com/study/NCT05127226)</t>
  </si>
  <si>
    <t>ClinicalTrials.gov NCT07782827 — CHAMPION Phase 3 (UPD/ID)</t>
  </si>
  <si>
    <t>Open-label single-arm UPD/ID study; status; sites (mirror eichor.com)</t>
  </si>
  <si>
    <t>Ionis PR 6-Jul-2026: completes enrollment in pivotal cohort of REVEAL</t>
  </si>
  <si>
    <t>136 pts Cohort 1; adult cohort Q3-2026; topline 2H-2027; designations</t>
  </si>
  <si>
    <t>Ionis PR 6-Nov-2024: pivotal Phase 3 trial design for ION582</t>
  </si>
  <si>
    <t>Primary endpoint Bayley-4 expressive communication; quarterly dosing without loading</t>
  </si>
  <si>
    <t>Ionis PR 16-May-2024: positive topline HALOS</t>
  </si>
  <si>
    <t>HALOS topline; Biogen opt-out; EEG delta reduction</t>
  </si>
  <si>
    <t>Ionis PR 22-Jul-2024: detailed HALOS results (BioSpace mirror)</t>
  </si>
  <si>
    <t>51 pts; SAS-CGI-C 97%; Lynne Bird quote</t>
  </si>
  <si>
    <t>Ionis PR 11-Jun-2025: first patient dosed in REVEAL</t>
  </si>
  <si>
    <t>REVEAL start; designations</t>
  </si>
  <si>
    <t>Ionis community letter Apr-2026: first EU REVEAL sites (via ASF)</t>
  </si>
  <si>
    <t>LMU München + Parc Taulí; planned DE/IT/PL/ES; EU skin-prick sham</t>
  </si>
  <si>
    <t>Ionis community letter Jul-2026 (via ASF)</t>
  </si>
  <si>
    <t>Cohort 1 complete; site cohort capability; CHAMPION timing</t>
  </si>
  <si>
    <t>Ionis community letter Dec-2025 (via ASF)</t>
  </si>
  <si>
    <t>80 mg focus; CHAMPION announced; advocacy engagement</t>
  </si>
  <si>
    <t>Ionis Italy community statement May-2026 (via ORSA)</t>
  </si>
  <si>
    <t>Italian REVEAL sites: Besta, AOU Pisana, OPBG</t>
  </si>
  <si>
    <t>IRCCS Fondazione Stella Maris press release 21-May-2026</t>
  </si>
  <si>
    <t>Named Italian REVEAL investigators/centres (D'Arrigo, Battini, Danieli, Pietrafusa)</t>
  </si>
  <si>
    <t>Ionis HALOS program update slides (Crean &amp; Bird, ASF 2024)</t>
  </si>
  <si>
    <t>HALOS MAD data; investigator disclosures</t>
  </si>
  <si>
    <t>EMA orphan designation EU/3/22/2636 (obudanersen)</t>
  </si>
  <si>
    <t>EU orphan designation 21-Jun-2022, sponsor Ionis Development (Ireland)</t>
  </si>
  <si>
    <t>EMA EPAR Spinraza (nusinersen)</t>
  </si>
  <si>
    <t>IT-ASO benchmark: IT injection by experienced staff; sedation may be needed</t>
  </si>
  <si>
    <t>ClinicalTrials.gov NCT06617429 — Aspire Phase 3 apazunersen</t>
  </si>
  <si>
    <t>Design (sham-LP; Bayley-4 cognition primary); EU sites (mirror eichor.com)</t>
  </si>
  <si>
    <t>ClinicalTrials.gov NCT04259281 — GTX-102 Phase 1/2</t>
  </si>
  <si>
    <t>25 sites incl. FR/DE/ES/UK</t>
  </si>
  <si>
    <t>Ultragenyx PR 2-Sep-2026: Phase 3 Aspire results</t>
  </si>
  <si>
    <t>Aspire missed primary and key secondary endpoints</t>
  </si>
  <si>
    <t>Ultragenyx GTX-102 pipeline page</t>
  </si>
  <si>
    <t>Designations incl. EMA PRIME; Aurora study</t>
  </si>
  <si>
    <t>Dindot SV et al. Sci Transl Med 2023;15:eabf4077. doi:10.1126/scitranslmed.abf4077; PMID 36947593</t>
  </si>
  <si>
    <t>GTX-102 preclinical basis</t>
  </si>
  <si>
    <t>Rugonersen TANGELO Phase 1. Nature Medicine 2025. doi:10.1038/s41591-025-03784-7</t>
  </si>
  <si>
    <t>Competitor UBE3A-ATS ASO publication</t>
  </si>
  <si>
    <t>Roche ForPatients — TANGELO site list</t>
  </si>
  <si>
    <t>Rugonersen EU sites (ES, IT, NL)</t>
  </si>
  <si>
    <t>Keary C et al. Gaboxadol in Angelman syndrome Phase 3. Eur J Paediatr Neurol 2023;47:6-12. doi:10.1016/j.ejpn.2023.07.008; PMID 37639777</t>
  </si>
  <si>
    <t>NEPTUNE failure (NCT04106557)</t>
  </si>
  <si>
    <t>Neuren — NNZ-2591 Angelman programme</t>
  </si>
  <si>
    <t>Phase 2 AS top-line; designations</t>
  </si>
  <si>
    <t>MavriX Bio PR — first patient dosed ASCEND-AS (MVX-220, NCT07181837)</t>
  </si>
  <si>
    <t>First AAV gene therapy trial in AS</t>
  </si>
  <si>
    <t>Global Angelman Syndrome Registry</t>
  </si>
  <si>
    <t>P3 global caregiver-reported registry (FAST Australia origin)</t>
  </si>
  <si>
    <t>ASF International Clinic Network announcement (9-Jan-2026)</t>
  </si>
  <si>
    <t>Erasmus Angelman Clinic partnership; LADDER-format data collection in Europe</t>
  </si>
  <si>
    <t>LADDER (Linking Angelman and Dup15q Data for Expanded Research), RTI</t>
  </si>
  <si>
    <t>P3 linked clinical/registry database</t>
  </si>
  <si>
    <t>ERN ITHACA — EU expert centres</t>
  </si>
  <si>
    <t>P4 HCP list (ID/neurodevelopmental)</t>
  </si>
  <si>
    <t>ERN EpiCARE</t>
  </si>
  <si>
    <t>P4 secondary (rare/complex epilepsies); members list</t>
  </si>
  <si>
    <t>EC ERN Service Directory</t>
  </si>
  <si>
    <t>Official HCP lookup by ERN and country</t>
  </si>
  <si>
    <t>Orphanet — Angelman syndrome ORPHA:72</t>
  </si>
  <si>
    <t>Disease reference, expert centres, patient orgs (site uses bot check)</t>
  </si>
  <si>
    <t>Angelman e.V. (Germany)</t>
  </si>
  <si>
    <t>National patient org (founded 1993)</t>
  </si>
  <si>
    <t>AFSA — Association Française du Syndrome d'Angelman</t>
  </si>
  <si>
    <t>National patient org (France)</t>
  </si>
  <si>
    <t>OR.S.A. — Organizzazione Sindrome di Angelman (Italy)</t>
  </si>
  <si>
    <t>National patient org; REVEAL Italy communications; reference centres list</t>
  </si>
  <si>
    <t>Associazione Angelman / FROM — Registro Italiano Sindrome di Angelman (RISA)</t>
  </si>
  <si>
    <t>Italian national AS registry (FROM, Bergamo)</t>
  </si>
  <si>
    <t>ASA — Asociación Síndrome de Angelman (Spain)</t>
  </si>
  <si>
    <t>National patient org (Spain)</t>
  </si>
  <si>
    <t>AngelmanUK</t>
  </si>
  <si>
    <t>UK patient charity (no. 1197780)</t>
  </si>
  <si>
    <t>FAST UK — Foundation for Angelman Syndrome Therapeutics UK</t>
  </si>
  <si>
    <t>UK research charity; trial news</t>
  </si>
  <si>
    <t>FAST (global) — drug development pipeline</t>
  </si>
  <si>
    <t>Competitive pipeline overview</t>
  </si>
  <si>
    <t>Aspire NCT06617429 (Ultragenyx) location list via ICH GCP mirror</t>
  </si>
  <si>
    <t>German Aspire sites: UKE Hamburg, University of Leipzig, Haunersche Kinderklinik München</t>
  </si>
  <si>
    <t>Roche ForPatients — Aldebaran (alogabat) NCT05630066</t>
  </si>
  <si>
    <t>Dr. von Haunersches Kinderspital München as a site (completed)</t>
  </si>
  <si>
    <t>Oak Hill Bio press release 28-Jul-2026 — BEACON (rugonersen) NCT07605429</t>
  </si>
  <si>
    <t>Rugonersen now Oak Hill Bio; Phase 3 BEACON started; US sites only as of Sep-2026</t>
  </si>
  <si>
    <t>LMU Klinikum — Angelman Zentrum München page</t>
  </si>
  <si>
    <t>AZM team (Makowski lead, Manssen), ASF/LADDER membership, links to Leipzig and Aachen</t>
  </si>
  <si>
    <t>Angelman e.V. — Angelman-Zentren page</t>
  </si>
  <si>
    <t>The three German AS centres, named leads, Leipzig registry, Vogtareuth adult contact point, AZL B-centre of UZSEL</t>
  </si>
  <si>
    <t>Angelman e.V. medical-scientific advisory board flyer (hosted by UK Aachen)</t>
  </si>
  <si>
    <t>Advisory board members (Makowski, Gburek-Augustat, Krey-Grauert, Maier, Hankowitz); AZM ran alogabat study; AZL in Phase 1/2 ASO trial and natural-history study</t>
  </si>
  <si>
    <t>Manssen L et al. Precision Medicine in Angelman Syndrome. Neuropediatrics 2025;56:69-82. doi:10.1055/a-2399-0191</t>
  </si>
  <si>
    <t>Key German AS review; author/affiliation map for Munich + Leipzig; cites AWMF S1 PWS/AS diagnostic guideline (Buiting, Glaeser, Beygo 2020)</t>
  </si>
  <si>
    <t>Manssen L et al. Treatment responses to antiseizure medication in children with AS. Eur J Paediatr Neurol 2026;65:1-7. PMID 42771958</t>
  </si>
  <si>
    <t>AZM natural-history cohort (n=101); authors incl. Borggraefe, Lemke, Krey, Gburek-Augustat, Nicolai</t>
  </si>
  <si>
    <t>Leipzig Angelman Syndrome Online Registry</t>
  </si>
  <si>
    <t>National AS registry (P3 coordinator: Lemke, Krey); ethics 465/19-ek; co-funded by Angelman e.V.</t>
  </si>
  <si>
    <t>Beygo J et al. Update of the EMQN/ACGS best practice guidelines for molecular analysis of PWS and AS. Eur J Hum Genet 2019;27:1326-1340. PMID 31235867</t>
  </si>
  <si>
    <t>International diagnostic guideline (Essen authors)</t>
  </si>
  <si>
    <t>se-atlas — ERN ITHACA German HCPs</t>
  </si>
  <si>
    <t>ITHACA HCPs: Düsseldorf, Erlangen, Essen, Göttingen, Hamburg (Human Genetics), Lübeck, Magdeburg, Münster, Tübingen</t>
  </si>
  <si>
    <t>ERN EpiCARE centre list</t>
  </si>
  <si>
    <t>German EpiCARE HCPs: Bonn, Erlangen, Freiburg, Tübingen</t>
  </si>
  <si>
    <t>se-atlas — German ZSE list</t>
  </si>
  <si>
    <t>National ZSE network (P4 national analogue)</t>
  </si>
  <si>
    <t>Uniklinik RWTH Aachen — Angelman Zentrum Aachen / MZEB team</t>
  </si>
  <si>
    <t>Adult AS centre (founded 2021); Maier lead; Schulz MZEB head</t>
  </si>
  <si>
    <t>UKE — Arbeitsgruppe Neuropädiatrie</t>
  </si>
  <si>
    <t>Denecke (lead), Johannsen; 2025 publication list</t>
  </si>
  <si>
    <t>Duis J et al. Mol Genet Genomic Med 2022;10:e1843 (international AS standards of care)</t>
  </si>
  <si>
    <t>P1 international consensus — no German authors identified</t>
  </si>
  <si>
    <t>FAST news index (Aspire, CHAMPION, BEACON, alogabat updates)</t>
  </si>
  <si>
    <t>Competitive landscape timeline 2025–2026</t>
  </si>
  <si>
    <t>PNDS Syndrome d'Angelman — texte (HAS PDF)</t>
  </si>
  <si>
    <t>Coordinator Dr Delphine Héron; CRMR contacts; Annexe 1 participant list (p.61 — not extractable via tool)</t>
  </si>
  <si>
    <t>PNDS Angelman — argumentaire (HAS PDF)</t>
  </si>
  <si>
    <t>Method, literature base (249 studies), coordination by Dr Héron</t>
  </si>
  <si>
    <t>Duis J et al. Mol Genet Genomic Med 2022;10(3):e1843 (PMID 35150089)</t>
  </si>
  <si>
    <t>International AS standards of care (no French authors identified)</t>
  </si>
  <si>
    <t>AFSA — Conseil Médical et Scientifique (2026)</t>
  </si>
  <si>
    <t>Current AS-engaged clinician roster (Desnous, Hully, Chaumette, Héron, Charles, Consoli, Riccardi)</t>
  </si>
  <si>
    <t>AFSA — Nouvelle présidence au CMS</t>
  </si>
  <si>
    <t>Hully succeeded Peudenier; Hully Necker CRMR DI &amp; SFNP roles</t>
  </si>
  <si>
    <t>AFSA livret — contributeurs</t>
  </si>
  <si>
    <t>Historic AFSA CMS (Dorison, Livet, Moncla, Peudenier, Héron)</t>
  </si>
  <si>
    <t>AFSA Rapport d'activités 2021</t>
  </si>
  <si>
    <t>CMS finalised PNDS; AFSA–FAST France–Syndrome Angelman France clinical-research working group</t>
  </si>
  <si>
    <t>ERN ITHACA — Paris centre (AP-HP consortium)</t>
  </si>
  <si>
    <t>P4: Verloes (EU coordinator), Héron, Bahi-Buisson, Rio, Valence, Germanaud, Amiel, Lehalle</t>
  </si>
  <si>
    <t>ERN ITHACA — Who we are</t>
  </si>
  <si>
    <t>Coordination at AP-HP since 2018 (Verloes)</t>
  </si>
  <si>
    <t>ERN ITHACA — Lyon centre</t>
  </si>
  <si>
    <t>P4: HCL Lyon (Rossi); CLAD Sud-Est sites</t>
  </si>
  <si>
    <t>ERN ITHACA — Dijon centre</t>
  </si>
  <si>
    <t>P4: CHU Dijon (Faivre)</t>
  </si>
  <si>
    <t>EpiCARE — Necker-Enfants Malades</t>
  </si>
  <si>
    <t>P4 EpiCARE full member; HCP coordinator Nabbout</t>
  </si>
  <si>
    <t>Necker CRéER rare epilepsies</t>
  </si>
  <si>
    <t>AS in rare-epilepsy scope; Timone = CRéER coordinating centre</t>
  </si>
  <si>
    <t>Institut Imagine — Rima Nabbout</t>
  </si>
  <si>
    <t>BNDMR scientific-committee chair; trial PI roles</t>
  </si>
  <si>
    <t>ESCO/STXBP1 France page</t>
  </si>
  <si>
    <t>Milh and Desnous roles at Timone</t>
  </si>
  <si>
    <t>NovaPharma EU news (Aspire)</t>
  </si>
  <si>
    <t>Aspire EU sites in Germany, Poland, Spain (secondary source)</t>
  </si>
  <si>
    <t>Husson T et al. Eur J Hum Genet 2024 (PMID 37872275)</t>
  </si>
  <si>
    <t>French NDD genetics network affiliations (Pitié CRMR DI, Dijon, Lille, Toulouse)</t>
  </si>
  <si>
    <t>AP-HP registre — ION582-CS1 (HALOS)</t>
  </si>
  <si>
    <t>Coordinating investigator Bahi-Buisson; Necker coordinating centre; closed to inclusion</t>
  </si>
  <si>
    <t>Eichor mirror of CT.gov NCT05127226 (HALOS)</t>
  </si>
  <si>
    <t>11 locations incl. Necker-Enfants Malades, Paris</t>
  </si>
  <si>
    <t>FAST France — Ionis page</t>
  </si>
  <si>
    <t>Necker HALOS centre opened June 2023</t>
  </si>
  <si>
    <t>AP-HP registre — GTX-102 Ph2 basket (CL210)</t>
  </si>
  <si>
    <t>Coordinating investigator Bahi-Buisson, Necker</t>
  </si>
  <si>
    <t>AP-HP registre — GTX-102 LTE (CL302)</t>
  </si>
  <si>
    <t>Coordinating investigator Milh (AP-HM); recruiting at Necker</t>
  </si>
  <si>
    <t>Duis J et al. Consensus standards of care for AS. Mol Genet Genomic Med 2022;10:e1843 (PMID 35150089)</t>
  </si>
  <si>
    <t>P1 international consensus — no Italian authors</t>
  </si>
  <si>
    <t>OR.S.A. – Centri di riferimento (AS reference centre list)</t>
  </si>
  <si>
    <t>P5 national AS reference centres + named clinicians</t>
  </si>
  <si>
    <t>OR.S.A. – Percorsi Diagnostici Assistenziali</t>
  </si>
  <si>
    <t>Patient-org diagnostic pathway (not a clinical guideline; no named author cohort)</t>
  </si>
  <si>
    <t>ClinicalTrials.gov NCT06914609 (REVEAL) – mirror ICH GCP</t>
  </si>
  <si>
    <t>REVEAL site list incl. 4 Italian sites (Medea not yet recruiting); EU CT 2024-519711-33-00</t>
  </si>
  <si>
    <t>ClinicalTrials.gov NCT05127226 (HALOS) – mirror ICH GCP</t>
  </si>
  <si>
    <t>HALOS site list – Italy: AOU Pisana only</t>
  </si>
  <si>
    <t>ClinicalTrials.gov NCT06617429 (Aspire) – mirror ICH GCP</t>
  </si>
  <si>
    <t>Aspire sites – no Italian site</t>
  </si>
  <si>
    <t>ClinicalTrials.gov NCT07157254 (Aurora, GTX-102 Ph2) – mirror ICH GCP</t>
  </si>
  <si>
    <t>Italian Aurora sites: Meyer, Besta, Rome</t>
  </si>
  <si>
    <t>OR.S.A. letter on Aurora (16-Jan-2026)</t>
  </si>
  <si>
    <t>Named Aurora leads: D'Arrigo, Guerrini, D.I. Battaglia (Gemelli)</t>
  </si>
  <si>
    <t>CTIS 2024-519393-39-00 (Aurora)</t>
  </si>
  <si>
    <t>EU Aurora registration; 3 EU countries, 8 sites</t>
  </si>
  <si>
    <t>Portale Malattie Rare – ERN Italian members</t>
  </si>
  <si>
    <t>P4 ERN ITHACA and EpiCARE Italian full-member lists</t>
  </si>
  <si>
    <t>ePAG Italia – ERN EpiCARE</t>
  </si>
  <si>
    <t>EpiCARE Italian centres and named representatives (Nobili, Darra)</t>
  </si>
  <si>
    <t>Portale Malattie Rare – centres for Angelman syndrome (68)</t>
  </si>
  <si>
    <t>Regional rare-disease network presidi certified for AS</t>
  </si>
  <si>
    <t>FAST Italia / Besta Angelman Biobank (news + protocol abstract)</t>
  </si>
  <si>
    <t>P3 national cohort; PI D'Arrigo; collaborators</t>
  </si>
  <si>
    <t>Pietrafusa N et al. Epilepsia Open 2024 (PMID 39175208)</t>
  </si>
  <si>
    <t>P2 OPBG AS publication</t>
  </si>
  <si>
    <t>Duma GM et al. Biol Psychiatry Glob Open Sci 2026 (PMID 42733627)</t>
  </si>
  <si>
    <t>P2 Medea AS hd-EEG biomarker paper</t>
  </si>
  <si>
    <t>Sueri C, Ferlazzo E et al. Epilepsy Behav 2017;75:225-9</t>
  </si>
  <si>
    <t>Italian multicentre adult-AS cohort with OR.S.A. (pre-window)</t>
  </si>
  <si>
    <t>Angelman Syndrome Alliance – funded researchers</t>
  </si>
  <si>
    <t>ASA grants to Battini (2021) and Russo (2016)</t>
  </si>
  <si>
    <t>Carriero PL…Biroli F. Italian AS Registry (RISA). J Clin Med 2024 (PMID 38930051); NCT03650569</t>
  </si>
  <si>
    <t>P3 national AS registry (82 pts, 2018–21) and coordinator</t>
  </si>
  <si>
    <t>CTIS.eu mirror of EU CT 2024-519711-33-01 (REVEAL EU)</t>
  </si>
  <si>
    <t>EU sites: Spain 2 sites (Parc Taulí Pediatric Medicine; SJD Pediatric Neurology Dept), 8 planned ES subjects; ES recruitment start 21-Apr-2026, end 30-Apr-2026; no PI names</t>
  </si>
  <si>
    <t>FAST España — Spanish translation of Ionis letter</t>
  </si>
  <si>
    <t>Spanish-community communication of REVEAL ES activation</t>
  </si>
  <si>
    <t>ICH GCP mirror — GTX-102 LTE, NCT06415344</t>
  </si>
  <si>
    <t>Spanish LTE sites: Puerta de Hierro, Parc Taulí</t>
  </si>
  <si>
    <t>ICH GCP mirror — GTX-102 Phase 1/2, NCT04259281</t>
  </si>
  <si>
    <t>Spanish sites: SJD, Parc Taulí, Puerta de Hierro; Dindot SV et al. Sci Transl Med 2023;15:eabf4077</t>
  </si>
  <si>
    <t>ICH GCP mirror — TANGELO rugonersen (RO7248824) Phase 1, NCT04428281</t>
  </si>
  <si>
    <t>Spanish sites: Virgen del Rocío, SJD, Parc Taulí (completed Jul-2025)</t>
  </si>
  <si>
    <t>Spanish AS Natural History Study (FAST España), NCT06115109</t>
  </si>
  <si>
    <t>Prospective multicentre NHS, 40 pts; contact/coordinator Dr Belén Ruiz-Antorán (Puerta de Hierro)</t>
  </si>
  <si>
    <t>Orphanet research project — Spanish AS Natural History Study</t>
  </si>
  <si>
    <t>Investigator Dr Belén Ruiz Antorán; funder Fundación FAST España; sites Parc Taulí + Puerta de Hierro (protocol PDF)</t>
  </si>
  <si>
    <t>FAST España — Comité científico</t>
  </si>
  <si>
    <t>Named members: Puerta de Hierro AS unit, Parc Taulí (incl. Dr Roche as TANGELO PI), Dr Ugo Mayor; states the two monographic AS units in Spain</t>
  </si>
  <si>
    <t>ASF Clinic page — Parc Taulí</t>
  </si>
  <si>
    <t>ASF Clinic, Clinic Head Dr Ana Roche; paediatric + adult; specialties</t>
  </si>
  <si>
    <t>ASF Medical Advisory Council (Spanish page)</t>
  </si>
  <si>
    <t>Ana Roche listed as member (ASF clinic lead, Parc Taulí)</t>
  </si>
  <si>
    <t>Parc Taulí news, 24-Mar-2025 (ASF recognition)</t>
  </si>
  <si>
    <t>First ASF-recognised AS clinic in Spain; XUEC since 2017; ~140 AS patients; founders Gabau, Guitart, Brun, Lorente, Artigas</t>
  </si>
  <si>
    <t>I3PT Parc Taulí news, 19-Sep-2025 (Aspire participation)</t>
  </si>
  <si>
    <t>Ultragenyx Phase 3 at Parc Taulí led by Ana Roche; ASF + LADDER endorsement</t>
  </si>
  <si>
    <t>I3PT news Jul-2023 — 1st European Workshop on AS (EWAS)</t>
  </si>
  <si>
    <t>Ana Roche organiser; European AS working group; EJP-RD recognised</t>
  </si>
  <si>
    <t>Dialnet author profile — G. Iglesias Escalera</t>
  </si>
  <si>
    <t>Puerta de Hierro AS papers: Rev Neurol 2021;72:51-60; 2023;76:217-226; 2024;79:223-228 with author lists</t>
  </si>
  <si>
    <t>ConSalud / Boadilla Digital, Dec-2024</t>
  </si>
  <si>
    <t>Puerta de Hierro AS unit (since 2012), ~125 patients (~25% of Spanish AS), FAST €130k biomarker grant</t>
  </si>
  <si>
    <t>Ministerio de Sanidad — Spanish centres in ERNs (updated Jan-2026)</t>
  </si>
  <si>
    <t>ERN ITHACA ES HCPs: SJD, Vall d'Hebron, La Paz; EpiCARE: Hospital del Mar, Clínic+SJD, La Fe; other ERN memberships for Tier-3 centres</t>
  </si>
  <si>
    <t>SJD news — coordination of ERN EpiCARE</t>
  </si>
  <si>
    <t>SJD coordinating EpiCARE since Oct-2023 under Prof. Alexis Arzimanoglou (director, epilepsy programme)</t>
  </si>
  <si>
    <t>SJD specialist page — M. Carme Fons Estupiñà</t>
  </si>
  <si>
    <t>Head of SJD Paediatric Neurology Service</t>
  </si>
  <si>
    <t>Canal Sur, May-2021</t>
  </si>
  <si>
    <t>Dra. María Muñoz (Neurología Pediátrica HUVR) investigator in Phase 1 AS trial; Andalucía AS epidemiology</t>
  </si>
  <si>
    <t>El Correo de Andalucía, Jan-2023</t>
  </si>
  <si>
    <t>FAST España criticism of HUVR non-participation in two AS trials (staffing)</t>
  </si>
  <si>
    <t>HUVR news — Beatriz Muñoz Cabello section head</t>
  </si>
  <si>
    <t>New Jefa de Sección de Neuropediatría, HUVR</t>
  </si>
  <si>
    <t>Navarrabiomed / UPNA — Sergio Aguilera Albesa</t>
  </si>
  <si>
    <t>CV: HUN neuropaediatrics, Navarrabiomed group head, SENEP working-group coordinator, 64 publications</t>
  </si>
  <si>
    <t>UPV/EHU Neuronal Ubiquitin Pathways — publications</t>
  </si>
  <si>
    <t>Ugo Mayor AS/UBE3A publications (Nat Commun 2023 etc.)</t>
  </si>
  <si>
    <t>International AS standards-of-care consensus — author list contains no Spain-affiliated author</t>
  </si>
  <si>
    <t>FAST España — Aspire Phase 3 results letter (18-Sep-2026)</t>
  </si>
  <si>
    <t>Aspire (GTX-102) Phase 3 did not demonstrate generalised benefit — competitor context</t>
  </si>
  <si>
    <t>Asociación Síndrome de Angelman (ASA) — about</t>
  </si>
  <si>
    <t>National PAG (&gt;200 families; member FEDER, EURORDIS, AS Alliance); no medical/clinic directory found</t>
  </si>
  <si>
    <t>FAST España home / news</t>
  </si>
  <si>
    <t>Spanish PAG news: REVEAL recruitment, CHAMPION, Aspire, BEACON updates</t>
  </si>
  <si>
    <t>HRA research summary — ION582-CS2 REVEAL (IRAS 1011678)</t>
  </si>
  <si>
    <t>UK REC favourable opinion 16-May-2025 (South Central – Hampshire A); CRO contact (Medpace) — no named PI</t>
  </si>
  <si>
    <t>HRA research summary — HALOS ION582 Ph1/2 (IRAS 1004362)</t>
  </si>
  <si>
    <t>UK REC favourable opinion 23-May-2022 (London–Brent)</t>
  </si>
  <si>
    <t>HRA research summary — GTX-102 Ph1/2 (IRAS 299037)</t>
  </si>
  <si>
    <t>UK contact Laurent Servais (Oxford)</t>
  </si>
  <si>
    <t>HRA research summary — GTX-102-CL210 (Aurora) Phase 2 basket</t>
  </si>
  <si>
    <t>UK REC favourable opinion 31-Oct-2025 (Cambridge South); UK sites not public</t>
  </si>
  <si>
    <t>FAST UK — Oxford Natural History Study</t>
  </si>
  <si>
    <t>CI Prof Laurent Servais; PI Dr Usha Kini; n=40 + carers; recruitment completed Mar-2023 (P3 national cohort)</t>
  </si>
  <si>
    <t>STRONG group, University of Oxford — Servais profile</t>
  </si>
  <si>
    <t>Professor of Paediatric Neuromuscular Diseases; Academic Director Paediatric CRF</t>
  </si>
  <si>
    <t>Manchester Rare Conditions Centre — Angelman Syndrome Clinic</t>
  </si>
  <si>
    <t>Current MDT: Dr Catherine Breen (Clinic Lead), Prof S Banka, S Francois (GC), Dr D Hindley, C Abbott, J Pemberton, Dr J Waite</t>
  </si>
  <si>
    <t>AngelmanUK — Clinic</t>
  </si>
  <si>
    <t>UK's only specialist Angelman Syndrome clinic' (MFT/MRCC/AngelmanUK), 6-monthly, children &amp; adults; referrals to Dr Catherine Breen</t>
  </si>
  <si>
    <t>Manchester Centre for Genomic Medicine — AS clinic page and Developmental Disorders staff list</t>
  </si>
  <si>
    <t>Banka &amp; Breen list AS clinic; Clayton-Smith not on current consultant list; links ERN-ITHACA</t>
  </si>
  <si>
    <t>DI-fusion (ULB) — Angelman Syndrome Clinical Management Guidelines (DYSCERNE, Manchester 2009)</t>
  </si>
  <si>
    <t>P1 national/European guideline; authors Clayton-Smith J, Dan B, Adams DJ, Emerson F, Krajewska-Walasek M, Lloyd C, MacKinnon R, Robertson PR, Thomas M</t>
  </si>
  <si>
    <t>Angelman Syndrome Clinical Management Guidelines (PDF copy)</t>
  </si>
  <si>
    <t>SIGN-based methodology; European audience; ASSERT listed; content scope</t>
  </si>
  <si>
    <t>Duis J et al. Mol Genet Genomic Med 2022;10:e1843 (PMID 35150089)</t>
  </si>
  <si>
    <t>International AS standards of care — no UK-affiliated authors</t>
  </si>
  <si>
    <t>Heald M et al. Front Behav Neurosci 2021;15:618271 (PMID 33664655)</t>
  </si>
  <si>
    <t>UK (Birmingham) AS behavioural phenotype by genotype</t>
  </si>
  <si>
    <t>Trickett J et al. Front Psychiatry 2019;10:874 (PMID 31849727)</t>
  </si>
  <si>
    <t>UK AS sleep case-control; author affiliations (Birmingham, Leicester, UCL GOS ICH, Evelina)</t>
  </si>
  <si>
    <t>Clayton-Smith J, Laan L. J Med Genet 2003;40:87</t>
  </si>
  <si>
    <t>Seminal UK AS review (Manchester)</t>
  </si>
  <si>
    <t>FAST × ASA Europe/UK trials webinar (Oct-2025)</t>
  </si>
  <si>
    <t>UK/EU site participation context for Aspire and REVEAL</t>
  </si>
  <si>
    <t>NIHR GOSH Clinical Research Facility</t>
  </si>
  <si>
    <t>Early-phase paediatric CRF infrastructure at GOSH</t>
  </si>
  <si>
    <t>Abate MV et al. Arch Dis Child 2025;110(11):899-904 (PMID 40484454)</t>
  </si>
  <si>
    <t>2021–2026 AS paper with UK affiliations: Wellesley DG (Wessex Clinical Genetics, Southampton), Morris JK (City St George's), Jordan S (Swansea), Loane M (Ulster), Tan J (NIHR GOSH BRC)</t>
  </si>
  <si>
    <t>Ulster University accepted manuscript (affiliations)</t>
  </si>
  <si>
    <t>Full UK author affiliations for PMID 40484454</t>
  </si>
  <si>
    <t>CAVEATS — coverage limits, per-geography gaps, KOL movement, gap-fill disclosure, Tier-4 rationale, trial-readiness checklist, asset-specific signal</t>
  </si>
  <si>
    <t>Geography</t>
  </si>
  <si>
    <t>Caveat</t>
  </si>
  <si>
    <t>All (EU4+UK)</t>
  </si>
  <si>
    <t>Coverage limits: site-level PIs for REVEAL, HALOS, Aspire and GTX-102 Ph1/2 are not published on ClinicalTrials.gov; site attribution uses institution listings, sponsor/patient-organisation letters and publication affiliations. Live PubMed E-utilities access was unavailable in this run, so P2 and KOL publication/speaker scores are conservative (default-low).</t>
  </si>
  <si>
    <t>Pillar substitutions: P1 — no clinician from DE/FR/IT/ES/UK co-authored the 2022 international consensus (Duis et al.); P1 uses national guidance (FR PNDS 2021; UK 2009 clinical management guidelines; DE diagnostic guidelines EMQN/ACGS 2019 and AWMF S1 where cited) and national analogues. P4 — UK = N/A (post-Brexit) with NHS regional/national services as analogue; DE/FR/ES/IT national rare-disease networks used as analogues where stated.</t>
  </si>
  <si>
    <t>KOL movement: affiliations change constantly — every OUTDATED flag in Verification_Flags (retirements, emeritus status, historic patient-organisation listings) must be re-verified before outreach.</t>
  </si>
  <si>
    <t>Gap-fill disclosure: where no guideline author, registry coordinator or trial PI could be traced, KOL cells read "Not publicly identified — verify locally"; no names were inferred. Gap-fill order followed template §5 (a)→(d).</t>
  </si>
  <si>
    <t>Tier 4 (community/district hospitals) is not enumerated — not requested. AS is a chronic, managed disease with care concentrated at reference/genetics/neuropaediatric centres, so the acute-presentation dispersion caveat does not apply; address Tier 4 via national patient organisations and paediatric-neurology society channels.</t>
  </si>
  <si>
    <t>Trial-readiness validation checklist (before site outreach): confirm site PI/sub-investigators via EU CTIS or sponsor; confirm REVEAL cohort certification (paediatric vs adult); confirm procedural sedation/GA-without-intubation and repeat-LP capacity; confirm genotype documentation (deletion / UBE3A / UPD / ID) and re-testing access; check transfer-of-value disclosures for competitor-trial investigators.</t>
  </si>
  <si>
    <t>Asset-specific signal: obudanersen evidence partners in EU4+UK are the REVEAL/HALOS site teams (LMU München, Parc Taulí, Sant Joan de Déu, Besta, AOU Pisana/Stella Maris, Bambino Gesù, GOSH, Oxford; HALOS at Necker). The only Ionis-quoted named investigator found (Lynne Bird, UC San Diego) is US-based. Ex-Aspire/GTX-102 sites are IT-ASO-experienced and, after the Aspire failure (2-Sep-2026), potentially available partners.</t>
  </si>
  <si>
    <t>No German KOL reaches Tier 1 on the template score (all ≤14/30). German AS expertise is young (centres founded 2019–2022), and AS-specific publications are concentrated in two Munich/Leipzig papers (2025, 2026). Scores use the evidence floor and likely understate prolific epileptologists and geneticists (e.g., Lemke, Borggräfe).</t>
  </si>
  <si>
    <t>Investigator names are not public: ClinicalTrials.gov, CTIS mirrors and Ionis letters list REVEAL and Aspire sites only at institution level. The LMU REVEAL PI (presumed Makowski or Borggräfe) and the UKE/Leipzig Aspire PIs need confirmation before outreach.</t>
  </si>
  <si>
    <t>Tier 1 for Munich and Leipzig depends on national-analogue P1/P4 pillars (Angelman e.V. advisory board; ASF clinic / ZSE B-centre) rather than ERN membership.</t>
  </si>
  <si>
    <t>Competitor landscape has shifted: Aspire (apazunersen) failed on 2-Sep-2026, so its three German sites (Munich, Leipzig, Hamburg) are experienced intrathecal-ASO sites now open to other programmes. Rugonersen moved to Oak Hill Bio (Phase 3 BEACON, US-only so far). Alogabat Aldebaran (Munich site) is completed.</t>
  </si>
  <si>
    <t>Tier 4 is not enumerated. Kork, Bethel, Dresden, Frankfurt, Würzburg, Köln and Hannover were not assessed in the ~25-minute time-box; the SPZ network should be addressed through Angelman e.V. and GNP (Gesellschaft für Neuropädiatrie) channels.</t>
  </si>
  <si>
    <t>AS is a chronic condition, so the acute-dispersion caveat does not apply. Adult care (REVEAL Cohort 2, ages 18–50) is thin: only Aachen (MZEB) and Vogtareuth are named adult contact points.</t>
  </si>
  <si>
    <t>REVEAL has no French site, but Necker was the French HALOS coordinating centre (coordinating investigator Bahi-Buisson). Necker and Timone also ran GTX-102 studies (Ph1/2; Ph2 basket; LTE coordinated by Milh). France therefore has intrathecal-ASO-experienced sites, and with Aspire failed (Sep-2026) they are prime REVEAL/CHAMPION expansion candidates.</t>
  </si>
  <si>
    <t>The PNDS participant list (Annexe 1) and the PubMed E-utilities sweep could not be retrieved (no sandbox network; web tool truncates the PDF). Only Dr Héron is a verified P1 author, and publication scores remain conservative.</t>
  </si>
  <si>
    <t>AS-specific French peer-reviewed output for 2021–2026 was not verified, so P2 and publication scores default low. AFSA CMS membership is used as the main disease-engagement signal, and several historic AFSA names may be outdated.</t>
  </si>
  <si>
    <t>Tier 4 is not enumerated. AS is a chronic, managed condition centralised at CRMR/CCMR (DéfiScience, AnDDI-Rares, CRéER), so the acute-dispersion caveat does not apply.</t>
  </si>
  <si>
    <t>P1 substitution: no Italian national AS guideline/consensus exists (OR.S.A. 'Percorsi' is a patient-org pathway without named authors), and no Italian author is on Duis 2022. P1 = 'No' for all centres, so Tier 1 is driven by P3 coordination (FAST Italia–Besta biobank).</t>
  </si>
  <si>
    <t>Trial-site attribution: Italian REVEAL/HALOS/Aurora sites and leads come from CT.gov mirrors, Ionis/OR.S.A./Stella Maris communications (May-2026, Jan-2026). Site-level PIs are not published on CT.gov, Medea was 'not yet recruiting' in Jun-2026, and REVEAL Cohort 1 closed Jul-2026. Re-verify with Ionis before outreach.</t>
  </si>
  <si>
    <t>Publication signal is thin. The live PubMed E-utilities pass (esearch/efetch) could not be executed: there is no network or DNS from bash/RunScript, and API URLs fail via web_fetch. P2 therefore relies on individually verified papers: OPBG 2024 (PMID 39175208), Medea 2026 (PMID 42733627), RISA registry 2024 (PMID 38930051) and the multicentre study 2017. Several OR.S.A.-listed clinicians therefore score Tier 3 by evidence default.</t>
  </si>
  <si>
    <t>Compliance: Besta (D'Arrigo) is investigator for both Ionis REVEAL and Ultragenyx Aurora. Meyer (Guerrini) and Gemelli (D.I. Battaglia) are Ultragenyx Aurora leads. Check EFPIA ToV disclosures before advisory contracting.</t>
  </si>
  <si>
    <t>Tier 4 (community/district hospitals and the 68 regional-network presidi certified for AS) is intentionally not enumerated. Southern Italy and the islands have no AS trial site, which is a potential access/referral gap for an intrathecal ASO.</t>
  </si>
  <si>
    <t>No Spanish Tier 1 under the strict rubric: P1 = No nationwide (no Spanish author on Duis 2022; no Spanish AS guideline found) and the two AS-dedicated units (Parc Taulí, Puerta de Hierro) are not ERN ITHACA/EpiCARE HCPs; SJD has ERN status but no registry/guideline role. Tier 2 list therefore mixes true national anchors with single-trial competitor sites (HUVR, HU Navarra).</t>
  </si>
  <si>
    <t>REVEAL site PIs in Spain (Parc Taulí, SJD) are not publicly disclosed (CT.gov/CTIS list facilities only). Dr Ana Roche is the probable Parc Taulí PI by inference; SJD PI unknown. Verify with Ionis clinical operations before outreach; Spanish REVEAL recruitment closed 30-Apr-2026 (CTIS), so further ES ION582 activity will come via LTE/adult cohort and CHAMPION.</t>
  </si>
  <si>
    <t>Spanish AS KOL pool is shallow on international profile: most named KOLs score Tier 3 (few first/last-author AS papers, mostly in Rev Neurol), and several are competitor-aligned (Ultragenyx Aspire/LTE, Roche TANGELO/Aldebaran). PubMed/Europe PMC could not be queried directly in this pass, so publication counts rely on Dialnet, institutional portals and trial registries — re-verify; also screen Farmaindustria transfer-of-value disclosures for compliance.</t>
  </si>
  <si>
    <t>Tier 4 (district/general hospitals) not enumerated by design; AS is a chronic managed disease so no acute-dispersion caveat applies, but Southern/Northern Spain access gaps (Andalucía, Galicia, Basque Country) are real — HUVR and HU Navarra are the only non-Madrid/Barcelona trial-experienced sites.</t>
  </si>
  <si>
    <t>Post-Brexit: P4 (ERN ITHACA/EpiCARE) = N/A for all UK centres; national analogues (NHS regional genetics services, NIHR CRFs, national tertiary children's hospitals) used instead. Manchester (MCGM) was an ERN ITHACA founding HCP pre-Brexit.</t>
  </si>
  <si>
    <t>REVEAL/HALOS UK site PIs are not published (ClinicalTrials.gov shows facilities only; HRA lists CRO contacts) — GOSH and Cambridge KOLs remain 'Not publicly identified'; Oxford attribution (Servais/Kini) rests on the natural-history study and STRONG-group site listing.</t>
  </si>
  <si>
    <t>UK P1 is the 2009 DYSCERNE AS guideline (dated); there is no current NICE/UK AS guideline, so no UK KOL scores Tier 1; Clayton-Smith may be retired/emeritus — verify before outreach.</t>
  </si>
  <si>
    <t>Aspire (GTX-102 Ph3) had no UK sites and failed its primary endpoint (Sep-2026); UK competitor exposure = GTX-102 Ph1/2 (Cambridge, GOSH, Oxford) and Aurora (UK REC approved Oct-2025, sites not public).</t>
  </si>
  <si>
    <t>Birmingham/Aston/Evelina KOLs are largely psychologists/sleep researchers (non-prescribers) — valuable for COA/endpoint and caregiver-burden work, not IT-ASO site readiness.</t>
  </si>
  <si>
    <t>Tier 4 (district general hospitals/community paediatrics) deliberately not enumerated; AS is chronic and care concentrates at genetics/neurology referral centres. Devolved nations (Scotland, Wales, NI) have separate HTA/commissioning routes.</t>
  </si>
  <si>
    <t>Live PubMed/E-utilities could not be reached from this environment (no curl, no DNS; web_fetch blocked) — only 2 UK-affiliated 2021–2026 AS PMIDs were verified (40484454, 33664655). Publication scores are therefore conservative and Manchester's Tier is provisional; re-run the E-utilities sweep before finalising.</t>
  </si>
  <si>
    <t>ASSET &amp; COMPETITOR TRIAL FOOTPRINT — competitor programmes in Angelman syndrome</t>
  </si>
  <si>
    <t>Asset / programme</t>
  </si>
  <si>
    <t>Sponsor</t>
  </si>
  <si>
    <t>Status</t>
  </si>
  <si>
    <t>NCT</t>
  </si>
  <si>
    <t>EU sites (EU4+UK focus)</t>
  </si>
  <si>
    <t>Publication</t>
  </si>
  <si>
    <t>Source URL</t>
  </si>
  <si>
    <t>apazunersen (GTX-102) — Phase 3 Aspire</t>
  </si>
  <si>
    <t>Ultragenyx</t>
  </si>
  <si>
    <t>FAILED: 2-Sep-2026 Aspire did not meet primary endpoint (Bayley-4 cognitive raw score) nor key secondary (MDRI net response); safety consistent with Ph1/2. Registry: Active, not recruiting; 129 randomised (4–17 y, full maternal deletion); sham-LP control; IT every 3 months. Programme disposition under review. Holds FDA BTD/ODD/RPD/FT and EMA orphan + PRIME.</t>
  </si>
  <si>
    <t>NCT06617429</t>
  </si>
  <si>
    <t>DE: UKE Hamburg; Univ. Leipzig; Haunersche Kinderklinik (LMU) Munich. ES: Parc Taulí; Sant Joan de Déu; Puerta de Hierro (Madrid); Virgen del Rocío (Seville). Also PL (Gdańsk, Łódź). No FR/IT/UK sites.</t>
  </si>
  <si>
    <t>Mechanism: Dindot SV et al. Sci Transl Med 2023;15:eabf4077, doi:10.1126/scitranslmed.abf4077, PMID 36947593. No Phase 3 publication yet.</t>
  </si>
  <si>
    <t>apazunersen (GTX-102) — Phase 1/2</t>
  </si>
  <si>
    <t>Ultragenyx (ex-GeneTx)</t>
  </si>
  <si>
    <t>Completed (2020-02 → 2025-01); 74 children 4–17 y with deletion; loading + maintenance IT dosing; earlier clinical hold (2020) for lower-extremity weakness, lifted 2021 after dose/administration change.</t>
  </si>
  <si>
    <t>NCT04259281 (EudraCT 2021-001793-36)</t>
  </si>
  <si>
    <t>FR: Timone (Marseille), Necker (Paris). DE: UKE Hamburg, Leipzig. ES: Sant Joan de Déu, Parc Taulí, Puerta de Hierro. UK: Cambridge, GOSH, Oxford.</t>
  </si>
  <si>
    <t>Plain-language results summary (Ultragenyx, 2026); interim data AAN 2024 (Olugemo K). No full peer-reviewed Ph1/2 paper identified.</t>
  </si>
  <si>
    <t>apazunersen (GTX-102) — Aurora</t>
  </si>
  <si>
    <t>Phase 3 open-label basket (~60 pts; ages 1–&lt;65; deletion &lt;4 y, UPD/ICD, adults all genotypes, mutation cohort randomised vs no-treatment); first patient dosed Oct-2025; EU sites planned; future uncertain after Aspire failure.</t>
  </si>
  <si>
    <t>NCT07157254</t>
  </si>
  <si>
    <t>Planned in Europe — not verified on registry</t>
  </si>
  <si>
    <t>None</t>
  </si>
  <si>
    <t>rugonersen (RO7248824)</t>
  </si>
  <si>
    <t>Roche → Oak Hill Bio (EU orphan EU/3/20/2379 sponsorship transferred to Orphix Consulting GmbH, May-2025)</t>
  </si>
  <si>
    <t>Phase 1 TANGELO completed; Roche stopped development Jun-2023 and sought partner; results published 2025 (acceptable safety, partial EEG normalisation, clinical improvement vs natural history).</t>
  </si>
  <si>
    <t>NCT04428281</t>
  </si>
  <si>
    <t>ES: Parc Taulí (Sabadell), Sant Joan de Déu (Esplugues), Virgen del Rocío (Seville). IT: Ospedale Pediatrico Bambino Gesù (Rome). (Also NL: Erasmus MC Sophia.)</t>
  </si>
  <si>
    <t>Nature Medicine 2025, doi:10.1038/s41591-025-03784-7</t>
  </si>
  <si>
    <t>gaboxadol (OV101) — NEPTUNE</t>
  </si>
  <si>
    <t>Ovid Therapeutics</t>
  </si>
  <si>
    <t>Phase 3 failed: no difference vs placebo on CGI-I-AS at week 12 (LS mean difference 0; p=0.83); 104 enrolled (2019–2020). Programme discontinued in AS.</t>
  </si>
  <si>
    <t>NCT04106557</t>
  </si>
  <si>
    <t>Not verified for EU4+UK (published author list includes Erasmus MC, NL)</t>
  </si>
  <si>
    <t>Keary C et al. Eur J Paediatr Neurol 2023;47:6-12, doi:10.1016/j.ejpn.2023.07.008, PMID 37639777</t>
  </si>
  <si>
    <t>NNZ-2591 (ercanetide)</t>
  </si>
  <si>
    <t>Neuren Pharmaceuticals</t>
  </si>
  <si>
    <t>Oral; Phase 2 open-label (13 weeks; Australia, 3 sites) positive top-line Aug-2024 on CGI-I and CIC; FDA ODD/FT/RPD and EMA orphan; no EU trial sites.</t>
  </si>
  <si>
    <t>NCT05011851</t>
  </si>
  <si>
    <t>None (Australia only)</t>
  </si>
  <si>
    <t>Top-line presentation 9-Aug-2024 (no peer-reviewed AS paper identified)</t>
  </si>
  <si>
    <t>MVX-220 (AAV gene therapy)</t>
  </si>
  <si>
    <t>MavriX Bio (FAST / AS 2 Bio)</t>
  </si>
  <si>
    <t>Phase 1/2 ASCEND-AS first patient dosed Nov-2025 — first AS gene-therapy trial; ~12 pts; deletion/UPD/ICD; US sites only; FDA ODD/FT/RPD. PI Elizabeth Berry-Kravis (Rush).</t>
  </si>
  <si>
    <t>NCT07181837</t>
  </si>
  <si>
    <t>alogabat (Roche, oral GABA-A α5 PAM)</t>
  </si>
  <si>
    <t>Roche</t>
  </si>
  <si>
    <t>Phase 2 open-label (deletion, 5–17 y) — status not re-verified</t>
  </si>
  <si>
    <t>NCT05630066</t>
  </si>
  <si>
    <t>Spain (reported 2023) — not re-verified</t>
  </si>
  <si>
    <t>ASSET &amp; COMPETITOR TRIAL FOOTPRINT — EU4+UK trial sites (obudanersen REVEAL/HALOS and competitor programmes)</t>
  </si>
  <si>
    <t>Trial</t>
  </si>
  <si>
    <t>Institution</t>
  </si>
  <si>
    <t>Investigator (PI)</t>
  </si>
  <si>
    <t>REVEAL (obudanersen Ph3)</t>
  </si>
  <si>
    <t>Klinikum der Ludwig-Maximilians-Universität München (first EU site, Apr-2026)</t>
  </si>
  <si>
    <t>Not listed on ClinicalTrials.gov</t>
  </si>
  <si>
    <t>NCT06914609</t>
  </si>
  <si>
    <t>DE</t>
  </si>
  <si>
    <t>Dr Stefano D'Arrigo (named by IRCCS Stella Maris press release; not on CT.gov)</t>
  </si>
  <si>
    <t>IT</t>
  </si>
  <si>
    <t>Azienda Ospedaliero Universitaria Pisana (CT.gov) — IRCCS Fondazione Stella Maris named as centre in press release</t>
  </si>
  <si>
    <t>Dr Roberta Battini (IRCCS Stella Maris; named by press release; not on CT.gov)</t>
  </si>
  <si>
    <t>Pisa</t>
  </si>
  <si>
    <t>Ospedale Pediatrico Bambino Gesù</t>
  </si>
  <si>
    <t>Dr Nicola Pietrafusa (named by press release; not on CT.gov)</t>
  </si>
  <si>
    <t>IRCCS Eugenio Medea — named in Stella Maris press release only; NOT on CT.gov or Ionis Italian letter (verify)</t>
  </si>
  <si>
    <t>Dr Alberto Danieli (press release only)</t>
  </si>
  <si>
    <t>Bosisio Parini (LC)</t>
  </si>
  <si>
    <t>Hospital Sant Joan de Déu</t>
  </si>
  <si>
    <t>ES</t>
  </si>
  <si>
    <t>Corporació Sanitària Parc Taulí – Hospital de Sabadell (first EU site, Apr-2026)</t>
  </si>
  <si>
    <t>Sabadell</t>
  </si>
  <si>
    <t>Great Ormond Street Hospital for Children NHS FT</t>
  </si>
  <si>
    <t>UK</t>
  </si>
  <si>
    <t>John Radcliffe Hospital (Oxford University Hospitals)</t>
  </si>
  <si>
    <t>HALOS (obudanersen Ph1/2)</t>
  </si>
  <si>
    <t>NCT05127226</t>
  </si>
  <si>
    <t>FR</t>
  </si>
  <si>
    <t>Azienda Ospedaliero Universitaria Pisana</t>
  </si>
  <si>
    <t>STRONG Group, University of Oxford</t>
  </si>
  <si>
    <t>Aspire (apazunersen Ph3)</t>
  </si>
  <si>
    <t>Universitätsklinikum Hamburg-Eppendorf</t>
  </si>
  <si>
    <t>Universitätsklinikum Leipzig</t>
  </si>
  <si>
    <t>Haunersche Kinderklinik (LMU Klinikum)</t>
  </si>
  <si>
    <t>Hospital Universitari Parc Taulí</t>
  </si>
  <si>
    <t>Hospital Universitario Puerta de Hierro</t>
  </si>
  <si>
    <t>Madrid (Majadahonda)</t>
  </si>
  <si>
    <t>Hospital Universitario Virgen del Rocío</t>
  </si>
  <si>
    <t>GTX-102 Ph1/2</t>
  </si>
  <si>
    <t>AP-HM Hôpital de la Timone</t>
  </si>
  <si>
    <t>NCT04259281</t>
  </si>
  <si>
    <t>Esplugues de Llobregat</t>
  </si>
  <si>
    <t>Cambridge University Hospitals</t>
  </si>
  <si>
    <t>Great Ormond Street Hospital for Children</t>
  </si>
  <si>
    <t>Oxford University Hospitals NHS FT</t>
  </si>
  <si>
    <t>TANGELO (rugonersen Ph1)</t>
  </si>
  <si>
    <t>Corporació Sanitària Parc Taulí</t>
  </si>
  <si>
    <t>Not listed on sponsor site</t>
  </si>
  <si>
    <t>Verification_Flags — adversarial QA pass (affiliation currency, independence/compliance, provenance, wording/counts, drug premise). Red cells on home sheets = flagged, not corrected.</t>
  </si>
  <si>
    <t>#</t>
  </si>
  <si>
    <t>Sheet</t>
  </si>
  <si>
    <t>Cell(s)</t>
  </si>
  <si>
    <t>Item</t>
  </si>
  <si>
    <t>Finding</t>
  </si>
  <si>
    <t>Recommended correction</t>
  </si>
  <si>
    <t>Verdict</t>
  </si>
  <si>
    <t>F20</t>
  </si>
  <si>
    <t>[Germany] LMU Klinikum München — field: KOL / REVEAL PI</t>
  </si>
  <si>
    <t>ClinicalTrials.gov and the Ionis letter name the institution only; the REVEAL site PI is not public. Makowski leads the AZM but is not confirmed as PI. Borggräfe is section head. No public evidence links Prof. Angela Abicht to AS (name suggested in the brief), so she was not included.</t>
  </si>
  <si>
    <t>Confirm site PI and sub-investigators with Ionis Clinical Operations / CTIS Part I site list before outreach</t>
  </si>
  <si>
    <t>PART-UNVERIFIABLE</t>
  </si>
  <si>
    <t>B20; H20; K20; B21; H21; K21</t>
  </si>
  <si>
    <t>[Germany] LMU Klinikum München; Universitätsklinikum Leipzig — field: Tier / P1 / P4</t>
  </si>
  <si>
    <t>Tier 1 depends on national-analogue pillars (P1 = Angelman e.V. advisory board; P4 = ASF-recognised clinic / ZSE B-centre). Neither centre is on se-atlas ERN ITHACA/EpiCARE lists, and no German author is on the 2022 international consensus.</t>
  </si>
  <si>
    <t>Accept the analogue reading (as the brief allows for Germany) or downgrade both to Tier 2 under an ERN-only P4 reading</t>
  </si>
  <si>
    <t>WORDING</t>
  </si>
  <si>
    <t>B22</t>
  </si>
  <si>
    <t>[Germany] Universitätsklinikum Essen — field: Tier</t>
  </si>
  <si>
    <t>Formally meets Tier 1 (diagnostic guideline authors + ITHACA + AS molecular publications), but it is a lab-genetics institute without an AS treatment service. KOLs are PhD scientists.</t>
  </si>
  <si>
    <t>Keep Tier 1 for evidence/diagnostics; exclude from site-readiness shortlists</t>
  </si>
  <si>
    <t>C39</t>
  </si>
  <si>
    <t>[Germany] Prof. Dr. Karin Buiting — field: Affiliation</t>
  </si>
  <si>
    <t>She does not appear as a current contact on the Essen imprinting page (Beygo, Kanber, Ueberberg listed); she may be retired or emerita.</t>
  </si>
  <si>
    <t>Verify current status before listing as an active KOL</t>
  </si>
  <si>
    <t>OUTDATED</t>
  </si>
  <si>
    <t>F23</t>
  </si>
  <si>
    <t>[Germany] UKE Hamburg — field: KOL</t>
  </si>
  <si>
    <t>UKE is a GTX-102 Ph1/2 and Aspire site, but no investigator is publicly named. Denecke and Johannsen are gap-filled from the department directory.</t>
  </si>
  <si>
    <t>Verify Aspire site PI via Ultragenyx or CTIS</t>
  </si>
  <si>
    <t>I20; J20; I21; J21; I23; J23</t>
  </si>
  <si>
    <t>[Germany] Leipzig; LMU; UKE (Aspire sites) — field: P2/P3 competitor</t>
  </si>
  <si>
    <t>Aspire (apazunersen) missed its primary and key secondary endpoints on 2-Sep-2026. Ultragenyx is reviewing the programme, and the Aurora study (NCT07157254) status is unclear.</t>
  </si>
  <si>
    <t>Treat German Aspire sites as experienced, potentially displaceable intrathecal-ASO sites; avoid competitor-disparaging messaging</t>
  </si>
  <si>
    <t>DRUG-PREMISE</t>
  </si>
  <si>
    <t>Sources_Caveats!B195; Sources_Caveats!C195</t>
  </si>
  <si>
    <t>[Germany] Competitor landscape (rugonersen) — field: P2 competitor</t>
  </si>
  <si>
    <t>Rugonersen is no longer a Roche asset: Oak Hill Bio is running Phase 3 BEACON (NCT07605429; first dosed Jul-2026; US sites only as of Sep-2026). This contradicts the brief's 'TANGELO discontinued/verify' framing.</t>
  </si>
  <si>
    <t>Update the competitor list: rugonersen (Oak Hill Bio) Phase 3 BEACON active; watch for German site activation</t>
  </si>
  <si>
    <t>CONTRADICTED</t>
  </si>
  <si>
    <t>M20</t>
  </si>
  <si>
    <t>[Germany] REVEAL premise — field: Notes</t>
  </si>
  <si>
    <t>Verified: Cohort 1 = 136 enrolled (Ionis 6-Jul-2026); CT.gov actual enrolment 156; protocol amended Dec-2025 to two arms (80 mg vs placebo); EU uses a skin-prick sham; CTIS 2024-519711-33-00 (an aggregator lists transition number -01).</t>
  </si>
  <si>
    <t>None — note the CTIS suffix variant</t>
  </si>
  <si>
    <t>VERIFIED</t>
  </si>
  <si>
    <t>B35</t>
  </si>
  <si>
    <t>[Germany] Dr. Ilona Krey — field: Name</t>
  </si>
  <si>
    <t>She appears as 'Ilona Krey' on publications and the registry, and as 'Ilona Krey-Grauert' on the Angelman e.V. advisory-board flyer.</t>
  </si>
  <si>
    <t>Use 'Dr. med. Ilona Krey (Krey-Grauert)' in CRM to avoid duplicate records</t>
  </si>
  <si>
    <t>L36; P36; L23; P23</t>
  </si>
  <si>
    <t>[Germany] Prof. Dr. Johannes R. Lemke; Prof. Dr. Ingo Borggräfe — field: Scores</t>
  </si>
  <si>
    <t>Scores use the evidence floor (only AS papers fetched). Both are prolific in epilepsy genetics/epileptology, so publication and speaker scores are likely understated.</t>
  </si>
  <si>
    <t>Re-score after a full PubMed / congress-faculty check</t>
  </si>
  <si>
    <t>D22</t>
  </si>
  <si>
    <t>[Germany] Dr. Christine Makowski — field: Compliance</t>
  </si>
  <si>
    <t>No Ionis/Ultragenyx/Roche consultancy disclosure found. Her 2024 congress abstract states no conflict of interest. The AZM ran the Roche alogabat study (investigator role, not employment). A non-clinical advisory-board member (Dr. Johannes Hankowitz, AMNOG consultant) is not listed as a KOL.</t>
  </si>
  <si>
    <t>Run a standard transparency (FSA/EFPIA ToV) check before contracting</t>
  </si>
  <si>
    <t>J20:J36</t>
  </si>
  <si>
    <t>[Germany] HALOS NCT05127226 — field: P3</t>
  </si>
  <si>
    <t>HALOS lists 5 non-US sites, but no German site was identified (the CT.gov page did not render in this pass).</t>
  </si>
  <si>
    <t>Confirm that no German HALOS site exists</t>
  </si>
  <si>
    <t>E3:E21</t>
  </si>
  <si>
    <t>[France] PNDS Angelman participants — field: P1 guideline</t>
  </si>
  <si>
    <t>Only the coordinator (Dr Héron) could be verified; Annexe 1 (participants, p.61 of PNDS PDF) was beyond the web tool's extraction limit</t>
  </si>
  <si>
    <t>Open PNDS PDF p.61 manually; add all rédacteurs/groupe de travail/relecteurs as P1 KOLs and re-score guideline=3</t>
  </si>
  <si>
    <t>J3:J19</t>
  </si>
  <si>
    <t>[France] All FR centres — field: P3</t>
  </si>
  <si>
    <t>REVEAL has no FR site. FR asset-trial activity comes only from HALOS (Necker); competitor activity from GTX-102 Ph1/2/Ph2/LTE (Necker, Timone).</t>
  </si>
  <si>
    <t>Check EU CTIS 2024-519711-33-00 for any planned FR activation and CHAMPION site list</t>
  </si>
  <si>
    <t>I4; J4; I5; J5</t>
  </si>
  <si>
    <t>[France] Aspire (apazunersen) — field: P2/P3 competitor</t>
  </si>
  <si>
    <t>Aspire missed primary and key secondary endpoints (2-Sep-2026); programme disposition pending</t>
  </si>
  <si>
    <t>Treat competitor-trial signal as historical</t>
  </si>
  <si>
    <t>README!B73</t>
  </si>
  <si>
    <t>[France] REVEAL enrolment — field: Notes</t>
  </si>
  <si>
    <t>Brief cites 136 paediatric pts; CT.gov shows actual enrolment 156 (cohorts combined); 2-arm 80 mg vs placebo amendment Dec-2025 confirmed</t>
  </si>
  <si>
    <t>Cite 136 as paediatric cohort and 156 as total registered</t>
  </si>
  <si>
    <t>B3; I3</t>
  </si>
  <si>
    <t>[France] Pitié-Salpêtrière — field: Tier / P2</t>
  </si>
  <si>
    <t>Tier 1 relies on PNDS/argumentaire as P2; no individual peer-reviewed AS paper 2021–26 verified</t>
  </si>
  <si>
    <t>PubMed 'Angelman[ti] AND Héron D' / France[ad] 2021–2026 to confirm</t>
  </si>
  <si>
    <t>K5</t>
  </si>
  <si>
    <t>[France] AP-HM Timone — field: P4</t>
  </si>
  <si>
    <t>ERN EpiCARE/ITHACA membership not confirmed (CRéER coordinator is confirmed)</t>
  </si>
  <si>
    <t>Check ERN Service Directory</t>
  </si>
  <si>
    <t>D11; D14</t>
  </si>
  <si>
    <t>[France] Dr Marie Hully / Dr Béatrice Desnous — field: Role</t>
  </si>
  <si>
    <t>AFSA pages show Hully succeeded Peudenier as CMS president, while current CMS page lists Desnous as president</t>
  </si>
  <si>
    <t>Describe Hully as former president, Desnous as current</t>
  </si>
  <si>
    <t>C16; C20; C21</t>
  </si>
  <si>
    <t>[France] Dr Nathalie Dorison; Dr Marie-Odile Livet; Dr Sylviane Peudenier — field: Affiliation</t>
  </si>
  <si>
    <t>Sourced from undated/older AFSA handbook; not on the 2026 CMS roster</t>
  </si>
  <si>
    <t>Confirm current post/retirement before outreach</t>
  </si>
  <si>
    <t>D4</t>
  </si>
  <si>
    <t>[France] Pr Rima Nabbout — field: Compliance</t>
  </si>
  <si>
    <t>Industry-led rare-epilepsy trial PI (per Imagine profile); no Ionis/Ultragenyx/Roche/Ovid/Neuren employment found</t>
  </si>
  <si>
    <t>Check Transparence Santé declarations before contracting</t>
  </si>
  <si>
    <t>B3:B21</t>
  </si>
  <si>
    <t>[France] All FR KOLs — field: Compliance</t>
  </si>
  <si>
    <t>No KOL found to be an Ionis/Ultragenyx/Roche/Ovid/Neuren employee</t>
  </si>
  <si>
    <t>Run base Transparence Santé check</t>
  </si>
  <si>
    <t>J4</t>
  </si>
  <si>
    <t>[France] HALOS NCT05127226 — field: P3</t>
  </si>
  <si>
    <t>Necker confirmed as HALOS site (CT.gov mirror) and French coordinating centre (AP-HP registry; coordinating investigator Bahi-Buisson)</t>
  </si>
  <si>
    <t>B4; B5</t>
  </si>
  <si>
    <t>[France] Necker; Timone — field: Tier</t>
  </si>
  <si>
    <t>Tier 1 relies on reading national trial-coordinating-centre roles (HALOS; GTX-102 LTE) as the P3 'coordinator' arm; no registry coordinator or verified PNDS author</t>
  </si>
  <si>
    <t>Keep Tier 1 for engagement planning. Downgrade to Tier 2 if a strict registry-only P3 definition is applied.</t>
  </si>
  <si>
    <t>D5; D7</t>
  </si>
  <si>
    <t>[France] Dr Nadia Bahi-Buisson; Pr Mathieu Milh — field: Compliance</t>
  </si>
  <si>
    <t>Industry-trial investigator roles for Ionis (HALOS) and Ultragenyx (GTX-102); investigators, not employees</t>
  </si>
  <si>
    <t>Disclose and record before advisory contracting; check Transparence Santé</t>
  </si>
  <si>
    <t>E3:E21; G3:G21</t>
  </si>
  <si>
    <t>[France] PNDS Annexe 1 / PubMed sweep — field: P1 / P2</t>
  </si>
  <si>
    <t>Retry failed: the sandbox has no outbound network (DNS failure; curl absent), so the PDF could not be downloaded for pdftotext. E-utilities was also unreachable via the web tool.</t>
  </si>
  <si>
    <t>Run pdftotext on PNDS p.61 and the E-utilities query on a networked machine, then rescore</t>
  </si>
  <si>
    <t>J40</t>
  </si>
  <si>
    <t>[Italy] IRCCS Eugenio Medea, Conegliano — field: P3</t>
  </si>
  <si>
    <t>CT.gov (updated 22-Jun-2026) lists Medea REVEAL site as 'Not yet recruiting'; Stella Maris PR names it as a REVEAL centre. REVEAL Cohort 1 (paediatric) closed Jul-2026, so a late-activating site may only screen adults (Cohort 2).</t>
  </si>
  <si>
    <t>Confirm activation status and cohorts with Ionis MSL before trial-site outreach.</t>
  </si>
  <si>
    <t>D38; J38</t>
  </si>
  <si>
    <t>[Italy] IRCCS Stella Maris / AOU Pisana — field: Centre / P3</t>
  </si>
  <si>
    <t>HALOS and REVEAL list the legal site as 'Azienda Ospedaliero Universitaria Pisana'; the named lead (Battini) is at IRCCS Stella Maris. HALOS site PI not publicly named.</t>
  </si>
  <si>
    <t>Verify PI and hosting institution for HALOS/REVEAL Pisa before naming Battini as HALOS investigator.</t>
  </si>
  <si>
    <t>J42</t>
  </si>
  <si>
    <t>[Italy] Policlinico Gemelli, Roma — field: P3</t>
  </si>
  <si>
    <t>CT.gov lists Aurora Rome site only as 'Clinical Trial Site'; Gemelli/D.I. Battaglia attribution comes from OR.S.A. letter.</t>
  </si>
  <si>
    <t>Confirm via CTIS 2024-519393-39-00 site list.</t>
  </si>
  <si>
    <t>D42</t>
  </si>
  <si>
    <t>[Italy] Dr Stefano D'Arrigo — field: Role/Signal</t>
  </si>
  <si>
    <t>Lead at Besta for BOTH Ionis REVEAL and Ultragenyx Aurora (competing intrathecal ASOs). COMPLIANCE-relevant: sponsored investigator for a competitor.</t>
  </si>
  <si>
    <t>Record dual-sponsor investigator status; check transparency disclosures before advisory board contracting.</t>
  </si>
  <si>
    <t>I48; I49</t>
  </si>
  <si>
    <t>[Italy] Prof. Renzo Guerrini; Prof.ssa D.I. Battaglia — field: Engagement priority</t>
  </si>
  <si>
    <t>Ultragenyx Aurora site leads (competitor-trial investigators). No evidence of Ultragenyx/Ionis employment found.</t>
  </si>
  <si>
    <t>Disclose competitor-trial role in advisory selection; check EFPIA transfer-of-value disclosures.</t>
  </si>
  <si>
    <t>C47</t>
  </si>
  <si>
    <t>[Italy] Prof. Federico Vigevano — field: Affiliation</t>
  </si>
  <si>
    <t>OR.S.A. still lists him as OPBG neuroscience department lead; 2024 paper gives the 'Neurological Sciences and Rehabilitation Medicine Scientific Area', OPBG. The OR.S.A. list may be out of date.</t>
  </si>
  <si>
    <t>Re-verify current position before outreach.</t>
  </si>
  <si>
    <t>F38</t>
  </si>
  <si>
    <t>[Italy] IRCCS Stella Maris — field: KOLs</t>
  </si>
  <si>
    <t>OR.S.A. lists Prof. Giovanni Cioni as the Stella Maris contact; he is believed to be emeritus. He is not scored in the KOL roster.</t>
  </si>
  <si>
    <t>Treat Battini as current lead; verify Cioni status.</t>
  </si>
  <si>
    <t>M37; M41; M42</t>
  </si>
  <si>
    <t>[Italy] Aurora (OR.S.A. letter) — field: Notes</t>
  </si>
  <si>
    <t>OR.S.A. calls Aurora 'terapia genica di Fase 3'; per CT.gov, Aurora is a Phase 2 open-label basket study of an ASO (apazunersen), not gene therapy.</t>
  </si>
  <si>
    <t>Use 'Phase 2 ASO basket study (NCT07157254)'.</t>
  </si>
  <si>
    <t>J37:J64</t>
  </si>
  <si>
    <t>[Italy] Aspire NCT06617429 — field: P3</t>
  </si>
  <si>
    <t>No Italian Aspire site (EU sites only in DE, PL, ES). Aspire missed its primary endpoint (2-Sep-2026).</t>
  </si>
  <si>
    <t>None — no Italian centre should be flagged 'Site — competitor (Aspire)'.</t>
  </si>
  <si>
    <t>M37</t>
  </si>
  <si>
    <t>[Italy] Obudanersen status — field: Drug premise</t>
  </si>
  <si>
    <t>REVEAL pivotal Cohort 1 fully enrolled (136 pts, 6-Jul-2026); topline 2H2027; EMA orphan designation; CHAMPION planned before end-2026. All confirmed by Ionis sources.</t>
  </si>
  <si>
    <t>K37:K64</t>
  </si>
  <si>
    <t>[Italy] ERN ITHACA / EpiCARE membership — field: P4</t>
  </si>
  <si>
    <t>Membership is taken from the national rare-disease portal (updated Oct-2025). The ERN ITHACA site map could not be machine-read.</t>
  </si>
  <si>
    <t>Cross-check against EC ERN service directory before finalising.</t>
  </si>
  <si>
    <t>Sources_Caveats!E195</t>
  </si>
  <si>
    <t>[Italy] BEACON (rugonersen) NCT07605429 — field: P3</t>
  </si>
  <si>
    <t>Italian BEACON sites are not yet public (3 locations listed globally). OR.S.A. reports that Oak Hill Bio will attend the October 2026 national meeting.</t>
  </si>
  <si>
    <t>Monitor for Italian site activation (competitor CI).</t>
  </si>
  <si>
    <t>F48; J48</t>
  </si>
  <si>
    <t>[Italy] FROM Bergamo (RISA) — field: P3 / KOLs</t>
  </si>
  <si>
    <t>RISA is a completed (Feb-2021), patient-reported registry run by a research foundation. Biroli's clinical specialty and any AS patient care are not verified.</t>
  </si>
  <si>
    <t>Use as an RWE/registry partner. Confirm whether a clinical PI was involved before advisory invitation.</t>
  </si>
  <si>
    <t>G42:G64</t>
  </si>
  <si>
    <t>[Italy] All KOLs — field: Key publications (P2)</t>
  </si>
  <si>
    <t>The requested live PubMed E-utilities pass could not run: the sandbox has no DNS/curl, and web_fetch returns nothing for API endpoints. P2 rests on individually verified PubMed/publisher records.</t>
  </si>
  <si>
    <t>Re-run esearch 'Angelman[tiab] AND Italy[ad] AND 2021:2026[dp]' with efetch affiliations on a networked machine, then rescore publications.</t>
  </si>
  <si>
    <t>F65</t>
  </si>
  <si>
    <t>[Spain] Corporació Sanitària Parc Taulí — field: KOL / Lead clinician</t>
  </si>
  <si>
    <t>REVEAL site PI is not named on CT.gov, CTIS or Ionis/FAST letters. Dr Ana Roche is the AS unit head, named TANGELO PI and public Aspire lead, so is the most probable PI — but this is inference.</t>
  </si>
  <si>
    <t>Confirm REVEAL Parc Taulí PI/sub-Is with Ionis clinical operations or CTIS Part II before outreach; keep wording 'site unit head (PI to verify)'.</t>
  </si>
  <si>
    <t>F67</t>
  </si>
  <si>
    <t>[Spain] Hospital Sant Joan de Déu Barcelona — field: KOL / Lead clinician</t>
  </si>
  <si>
    <t>SJD is a REVEAL, Aspire, GTX-102 Ph1/2, TANGELO and Aldebaran site but no site PI is public; Dr Fons (department head) and Prof Arzimanoglou (EpiCARE) are listed for institutional/epilepsy relevance only.</t>
  </si>
  <si>
    <t>Identify SJD REVEAL PI via Ionis; do not represent Fons/Arzimanoglou as AS trial PIs.</t>
  </si>
  <si>
    <t>B81</t>
  </si>
  <si>
    <t>[Spain] Dra. María Muñoz (HUVR) — field: KOL</t>
  </si>
  <si>
    <t>Only source is a 2021 Canal Sur report giving 'María Muñoz' (surname incomplete); HUVR staff materials list a 'María Muñoz Cabeza' in paediatrics but identity link is unverified; role may have changed since 2021.</t>
  </si>
  <si>
    <t>Verify full name and current role/trial involvement (TANGELO closed Jul-2025; Aspire) locally.</t>
  </si>
  <si>
    <t>Country_Centres!F68</t>
  </si>
  <si>
    <t>[Spain] Dr. Marcos Madruga (ex-HUVR) — field: Affiliation</t>
  </si>
  <si>
    <t>Former HUVR neuropaediatrician (trials, SENEP board) left HUVR in 2020 (now private practice, Viamed Santa Ángela de la Cruz). Excluded from HUVR row.</t>
  </si>
  <si>
    <t>Do not map to HUVR; consider only as private-sector neuropaediatric voice if needed.</t>
  </si>
  <si>
    <t>C80</t>
  </si>
  <si>
    <t>[Spain] Dra. Carme Brun-Gasca (and Drs Gabau, Guitart, Lorente, Artigas) — field: Affiliation / activity</t>
  </si>
  <si>
    <t>Parc Taulí (2025) cites them as founders of its genetic-NDD care model; current clinical activity not confirmed (possible retirement). Only Brun-Gasca included (2021 co-authorship evidence).</t>
  </si>
  <si>
    <t>Confirm current status before any engagement.</t>
  </si>
  <si>
    <t>D65</t>
  </si>
  <si>
    <t>[Spain] Dra. Ana Roche Martínez — field: Independence / compliance</t>
  </si>
  <si>
    <t>Industry-trial PI/site lead roles (Roche TANGELO, Ultragenyx Aspire/GTX-102, Roche Aldebaran, Ionis REVEAL unit) and ASF Medical Advisory Council membership. No evidence of employment by Ionis, Ultragenyx, Roche, Ovid or Neuren.</t>
  </si>
  <si>
    <t>Record as investigator relationships; check Farmaindustria transfer-of-value disclosures and Ionis conflict screening before advisory-board contracting.</t>
  </si>
  <si>
    <t>B66; B71; B72; B73; B74; B75; B76</t>
  </si>
  <si>
    <t>[Spain] Puerta de Hierro AS-unit team (Ruiz Antorán, Iglesias, Lara, Lorenzo, Cazorla, López Pájaro, Novo) — field: Independence / compliance</t>
  </si>
  <si>
    <t>Unit is an Ultragenyx Aspire/LTE and Roche Aldebaran site and FAST-funded; no pharma employment found. Individual trial roles not public.</t>
  </si>
  <si>
    <t>Screen TOV disclosures (Ultragenyx/Roche) — likely competitor-aligned investigators.</t>
  </si>
  <si>
    <t>C70</t>
  </si>
  <si>
    <t>[Spain] Dr. Ugo Mayor — field: Centre mapping</t>
  </si>
  <si>
    <t>Non-clinician basic scientist (UPV/EHU); no treatment-centre row exists for him (nearest clinical reference: HU Cruces).</t>
  </si>
  <si>
    <t>Keep as scientific advisor; exclude from clinician field-deployment lists.</t>
  </si>
  <si>
    <t>H65:H81</t>
  </si>
  <si>
    <t>[Spain] All Spanish centres — field: P1</t>
  </si>
  <si>
    <t>No Spanish author on Duis 2022 AS consensus and no Spanish national AS guideline/consensus (SENEP/AEP/GuíaSalud) found → P1 = No throughout; therefore no centre meets strict Tier 1.</t>
  </si>
  <si>
    <t>Document as country-level gap; treat Parc Taulí + Puerta de Hierro as 'Tier-1-equivalent national anchors' in planning.</t>
  </si>
  <si>
    <t>M65; M67</t>
  </si>
  <si>
    <t>[Spain] REVEAL Spain — field: Notes / drug premise</t>
  </si>
  <si>
    <t>Confirmed: Parc Taulí first ES REVEAL site (Ionis letter Apr-2026); CTIS shows only 2 ES sites (Parc Taulí, SJD), 8 planned ES subjects, ES recruitment end 30-Apr-2026. Brief cites paediatric cohort 136 pts; CT.gov shows actual enrolment 156 (total, both cohorts).</t>
  </si>
  <si>
    <t>Use '156 enrolled overall (CT.gov, Sep-2026)'; '136' refers to paediatric pivotal cohort per Ionis — keep distinct.</t>
  </si>
  <si>
    <t>I65:J69</t>
  </si>
  <si>
    <t>[Spain] Competitor programmes (Spain) — field: P2/P3</t>
  </si>
  <si>
    <t>Aspire (GTX-102) Phase 3 read out Sep-2026 without generalised benefit (FAST letter); rugonersen moved Roche→Oak Hill Bio, BEACON Ph3 (NCT07605429) started Jul-2026 with US sites only listed; alogabat Aldebaran completed Dec-2025.</t>
  </si>
  <si>
    <t>Re-assess Spanish Ultragenyx-site loyalties (Puerta de Hierro, HUVR) and watch for BEACON Spanish site activation (likely Parc Taulí/SJD/HUVR = former TANGELO sites).</t>
  </si>
  <si>
    <t>K65; K66; K68; K69</t>
  </si>
  <si>
    <t>[Spain] Parc Taulí, Puerta de Hierro, HUVR, HUN — field: P4</t>
  </si>
  <si>
    <t>Verified against Ministerio de Sanidad ERN list (Jan-2026): none are ERN ITHACA or EpiCARE HCPs. Only SJD (ITHACA+EpiCARE), Vall d'Hebron and La Paz (ITHACA), Clínic, Hospital del Mar and La Fe (EpiCARE) qualify.</t>
  </si>
  <si>
    <t>None.</t>
  </si>
  <si>
    <t>J82:J97</t>
  </si>
  <si>
    <t>[United Kingdom] Aspire (GTX-102 Ph3, NCT06617429) — field: P3 / P2</t>
  </si>
  <si>
    <t>Brief suggested possible Ultragenyx UK Aspire sites; registry lists none in UK. UK Ultragenyx footprint = Ph1/2 NCT04259281 (Cambridge, GOSH, Oxford) and Aurora UK REC approval only.</t>
  </si>
  <si>
    <t>Do not label any UK centre as Aspire site.</t>
  </si>
  <si>
    <t>M82; M84; M85</t>
  </si>
  <si>
    <t>[United Kingdom] Aspire outcome — field: Notes</t>
  </si>
  <si>
    <t>Aspire failed primary and key secondary endpoints (2-Sep-2026); program disposition under review.</t>
  </si>
  <si>
    <t>Reclassify Cambridge/GOSH/Oxford GTX-102 investigators as displaceable, IT-ASO-experienced; re-check Aurora UK activity.</t>
  </si>
  <si>
    <t>J82</t>
  </si>
  <si>
    <t>[United Kingdom] HALOS NCT05127226 — field: P3</t>
  </si>
  <si>
    <t>HALOS UK site verified: STRONG Group, University of Oxford (single UK site). Not listed at GOSH.</t>
  </si>
  <si>
    <t>J82; J85</t>
  </si>
  <si>
    <t>[United Kingdom] REVEAL UK sites — field: P3</t>
  </si>
  <si>
    <t>REVEAL UK sites = GOSH and John Radcliffe (Oxford) only; site PIs not public on ClinicalTrials.gov/HRA (CRO contact only).</t>
  </si>
  <si>
    <t>Obtain PI names from Ionis Medical Affairs/site list before outreach.</t>
  </si>
  <si>
    <t>C83</t>
  </si>
  <si>
    <t>[United Kingdom] Prof Jill Clayton-Smith — field: Primary affiliation</t>
  </si>
  <si>
    <t>Not on current MCGM Developmental Disorders consultant list; current MRCC clinic lead is Dr Catherine Breen; mangen AS-clinic page appears outdated (lists Helen Jameson; MRCC lists Claire Abbott since 2022).</t>
  </si>
  <si>
    <t>Verify retirement/emeritus/honorary status; keep as advisory voice, route clinical/site contacts via Breen.</t>
  </si>
  <si>
    <t>E83</t>
  </si>
  <si>
    <t>[United Kingdom] Prof Jill Clayton-Smith — field: P1 guideline</t>
  </si>
  <si>
    <t>UK P1 guideline is the 2009 DYSCERNE (EU-funded, Manchester) guideline — 17 years old; no current UK/NICE AS guideline; no UK authors on Duis 2022.</t>
  </si>
  <si>
    <t>Treat P1 as historic national-guideline signal; consider a UK consensus update as an evidence-generation opportunity.</t>
  </si>
  <si>
    <t>D84</t>
  </si>
  <si>
    <t>[United Kingdom] Prof Laurent Servais — field: Independence / compliance</t>
  </si>
  <si>
    <t>Investigator on competitor GTX-102 (UK contact) and leads HALOS UK site group (ION582); likely industry relationships across ASO programmes (SMA). No disclosure reviewed.</t>
  </si>
  <si>
    <t>COMPLIANCE-relevant: check transparency/ disclosure records (Disclosure UK, journal COIs) for Ionis/Biogen/Ultragenyx/Roche consultancies before advisory-board invitation.</t>
  </si>
  <si>
    <t>F84</t>
  </si>
  <si>
    <t>[United Kingdom] Prof Laurent Servais — field: Role in HALOS/REVEAL</t>
  </si>
  <si>
    <t>HALOS site is listed as 'STRONG Group University of Oxford' (Servais = group PI); his named PI role in HALOS/REVEAL not explicitly published.</t>
  </si>
  <si>
    <t>Confirm site-PI role with Ionis.</t>
  </si>
  <si>
    <t>D88</t>
  </si>
  <si>
    <t>[United Kingdom] Dr Usha Kini — field: Role signal</t>
  </si>
  <si>
    <t>PI of Oxford AS Natural History Study verified; any REVEAL/HALOS investigator role not verified.</t>
  </si>
  <si>
    <t>Confirm with site list.</t>
  </si>
  <si>
    <t>C85</t>
  </si>
  <si>
    <t>[United Kingdom] Prof Chris Oliver — field: Primary affiliation</t>
  </si>
  <si>
    <t>Possible emeritus/retired status (not verified).</t>
  </si>
  <si>
    <t>Verify current University of Birmingham role.</t>
  </si>
  <si>
    <t>C94; C99; C89</t>
  </si>
  <si>
    <t>[United Kingdom] Dr Jayne Trickett / Hayley Denyer / Prof Paul Gringras — field: Primary affiliation</t>
  </si>
  <si>
    <t>Affiliations taken from 2019 paper; may have moved.</t>
  </si>
  <si>
    <t>Re-verify current posts.</t>
  </si>
  <si>
    <t>C91</t>
  </si>
  <si>
    <t>[United Kingdom] Dr Dan Hindley — field: Primary affiliation</t>
  </si>
  <si>
    <t>Source describes 'Bury and Bolton Primary Care Trust' — PCTs abolished 2013.</t>
  </si>
  <si>
    <t>Update to current employing NHS trust (likely Bolton NHS FT) after verification.</t>
  </si>
  <si>
    <t>I86</t>
  </si>
  <si>
    <t>[United Kingdom] Manchester — field: P2 flag</t>
  </si>
  <si>
    <t>2021–2026 AS-specific senior-author publications from Manchester not verified in this pass; Tier 1 rests partly on historic P2.</t>
  </si>
  <si>
    <t>Run PubMed author search (Clayton-Smith J / Banka S / Breen C + Angelman, 2021–2026) to confirm.</t>
  </si>
  <si>
    <t>F85; F84</t>
  </si>
  <si>
    <t>[United Kingdom] GOSH / Cambridge — field: KOL</t>
  </si>
  <si>
    <t>No publicly identifiable AS lead/site PI.</t>
  </si>
  <si>
    <t>Fill from Ionis/Ultragenyx site lists or trust directories.</t>
  </si>
  <si>
    <t>B96; B93; B95; B92; B88; B91; B90; B89; B87</t>
  </si>
  <si>
    <t>[United Kingdom] Tier 3 centres (Sheffield, Alder Hey, Newcastle, Leeds, Bristol, Glasgow, Edinburgh, Cardiff, Belfast) — field: Tier</t>
  </si>
  <si>
    <t>Tiered by infrastructure only (no AS research/trial/clinic signal found); not exhaustive search.</t>
  </si>
  <si>
    <t>Validate locally; upgrade if REVEAL Cohort 2/CHAMPION or Aurora sites added.</t>
  </si>
  <si>
    <t>B83:B99</t>
  </si>
  <si>
    <t>[United Kingdom] All named KOLs — field: Independence</t>
  </si>
  <si>
    <t>No KOL found to be an employee of Ionis, Ultragenyx, Roche, Ovid or Neuren.</t>
  </si>
  <si>
    <t>I82:I97</t>
  </si>
  <si>
    <t>[United Kingdom] PubMed 2021–2026 UK sweep — field: Method</t>
  </si>
  <si>
    <t>Requested live NCBI E-utilities sweep could not be run: sandbox has no curl and no DNS resolution; web_fetch to eutils.ncbi.nlm.nih.gov and pubmed.ncbi.nlm.nih.gov returned no content. Only PMIDs surfaced via web search/publisher pages were added (PMID 40484454, 33664655).</t>
  </si>
  <si>
    <t>Re-run: esearch Angelman[tiab] AND (United Kingdom[ad] OR UK[ad] OR England[ad] OR Scotland[ad] OR Wales[ad]) AND 2021:2026[dp] → efetch XML; rescore publications for all KOLs.</t>
  </si>
  <si>
    <t>B86</t>
  </si>
  <si>
    <t>[United Kingdom] Manchester (Saint Mary's / MCGM) — field: Tier</t>
  </si>
  <si>
    <t>Tier 1 required recent P2; no 2021–2026 Manchester AS PMID verified.</t>
  </si>
  <si>
    <t>Downgraded to Tier 2 (provisional); re-upgrade if PubMed confirms recent AS authorship.</t>
  </si>
  <si>
    <t>I82</t>
  </si>
  <si>
    <t>[United Kingdom] Oxford — field: P2 flag</t>
  </si>
  <si>
    <t>Tier 1 retained on ION582/competitor trial-investigator role; no 2021–2026 Oxford AS authorship PMID verified.</t>
  </si>
  <si>
    <t>Confirm natural-history publications (Servais/Kini) when PubMed accessible.</t>
  </si>
  <si>
    <t>Tier_Counts!E18</t>
  </si>
  <si>
    <t>[United Kingdom] Roster composition — field: Physician count</t>
  </si>
  <si>
    <t>Only 8 of 17 named KOLs are physicians; target ≥15 clinicians not met without live PubMed — no UK paediatric neurologist/epileptologist with a verifiable AS publication or trial role was found.</t>
  </si>
  <si>
    <t>Fill via PubMed sweep and Ionis/Ultragenyx UK site-PI lists (GOSH, Oxford, Cambridge).</t>
  </si>
  <si>
    <t>README / Infrastructure (drug premise)</t>
  </si>
  <si>
    <t>B72</t>
  </si>
  <si>
    <t>[Asset] REVEAL NCT06914609 + EU CT 2024-519711-33-00</t>
  </si>
  <si>
    <t>Both identifiers confirmed on ClinicalTrials.gov (Ionis sponsor; ION582-CS2).</t>
  </si>
  <si>
    <t>B73</t>
  </si>
  <si>
    <t>[Asset] REVEAL status — brief says 'adult cohort enrolling'</t>
  </si>
  <si>
    <t>CT.gov (last update 2026-09-29) shows 'Active, not recruiting', enrolment (actual) 156; Ionis guided Cohort 2 completion Q3-2026.</t>
  </si>
  <si>
    <t>State: 'REVEAL fully enrolled (156 actual; CT.gov Sep-2026) — confirm adult-cohort completion in Ionis Q3-2026 results.'</t>
  </si>
  <si>
    <t>[Asset] Cohort 1 enrolment 136 pts, Jul-2026</t>
  </si>
  <si>
    <t>Ionis PR 6-Jul-2026: 136 participants aged 2–&lt;18 y.</t>
  </si>
  <si>
    <t>B70</t>
  </si>
  <si>
    <t>[Asset] Total REVEAL size</t>
  </si>
  <si>
    <t>Ionis letters say ~158 planned; CT.gov actual 156; original design (Nov-2024/Jun-2025) ~200 with 2:1 randomisation and two doses.</t>
  </si>
  <si>
    <t>Use 156 (actual) / ~158 (planned); delete any '~200, 2:1, 40/80 mg' wording.</t>
  </si>
  <si>
    <t>[Asset] REVEAL dose/arms</t>
  </si>
  <si>
    <t>Amended Dec-2025 to 80 mg vs control 1:1; 40 mg participants switched to 80 mg.</t>
  </si>
  <si>
    <t>80 mg IT obudanersen vs control (placebo; EU skin-prick sham), 1:1'.</t>
  </si>
  <si>
    <t>[Asset] Topline 2H-2027</t>
  </si>
  <si>
    <t>Ionis PR 6-Jul-2026; CT.gov primary completion est. 2027-08.</t>
  </si>
  <si>
    <t>B71</t>
  </si>
  <si>
    <t>[Asset] Primary endpoint</t>
  </si>
  <si>
    <t>Ionis Nov-2024 PR: Bayley-4 expressive communication (Cohort 1). Differs from failed Aspire primary (Bayley-4 cognition).</t>
  </si>
  <si>
    <t>Always specify 'Bayley-4 expressive communication'.</t>
  </si>
  <si>
    <t>B74</t>
  </si>
  <si>
    <t>[Asset] EU skin-prick sham control</t>
  </si>
  <si>
    <t>Ionis Apr-2026 letter: EU regulators aligned on skin-prick sham; placebo elsewhere; single pooled dataset agreed with FDA/EMA. CT.gov text describes 'placebo' only.</t>
  </si>
  <si>
    <t>Describe EU control as 'skin-prick sham' (Ionis letter), not placebo.</t>
  </si>
  <si>
    <t>B75</t>
  </si>
  <si>
    <t>[Asset] EU first sites: LMU Klinikum München &amp; Parc Taulí Sabadell (Apr-2026)</t>
  </si>
  <si>
    <t>Confirmed by Ionis Apr-2026 letter and CT.gov location list.</t>
  </si>
  <si>
    <t>[Asset] 'Further EU sites planned in DE, IT, PL, ES'</t>
  </si>
  <si>
    <t>Now active per CT.gov: IT (Besta, AOU Pisana, OPBG), PL (Gdańsk UCK), ES (Sant Joan de Déu). No second DE site listed. No FR REVEAL site.</t>
  </si>
  <si>
    <t>Update to current CT.gov list; note France has no REVEAL site (only HALOS at Necker).</t>
  </si>
  <si>
    <t>[Asset] UK enrolling</t>
  </si>
  <si>
    <t>GOSH London and John Radcliffe Oxford listed; UK named in Ionis Dec-2025/Apr-2026 letters.</t>
  </si>
  <si>
    <t>B76; Sources_Caveats!C204; Sources_Caveats!C205; Sources_Caveats!C206; Sources_Caveats!C207; Sources_Caveats!B207</t>
  </si>
  <si>
    <t>[Asset] Italian REVEAL investigators/centres (press release)</t>
  </si>
  <si>
    <t>IRCCS Stella Maris release names Besta (D'Arrigo), Stella Maris (Battini), IRCCS E. Medea (Danieli), OPBG (Pietrafusa). CT.gov/Ionis list AOU Pisana (not Stella Maris) and does not list Medea. PIs not on CT.gov.</t>
  </si>
  <si>
    <t>Treat named Italian PIs as 'reported investigators — verify with Ionis/CTIS'; do not list Medea as a site until on registry.</t>
  </si>
  <si>
    <t>B83</t>
  </si>
  <si>
    <t>[Asset] Orphan designations</t>
  </si>
  <si>
    <t>EMA EU/3/22/2636 (21-Jun-2022, Ionis Development (Ireland)); FDA ODD + RPD (2022); FDA Fast Track.</t>
  </si>
  <si>
    <t>B84</t>
  </si>
  <si>
    <t>[Asset] PRIME</t>
  </si>
  <si>
    <t>No public evidence of EMA PRIME for obudanersen; PRIME is held by competitor GTX-102.</t>
  </si>
  <si>
    <t>Do not claim PRIME for obudanersen.</t>
  </si>
  <si>
    <t>B77; B78</t>
  </si>
  <si>
    <t>[Asset] HALOS results claims (97% SAS-CGI-C; Bayley-4 &gt; natural history)</t>
  </si>
  <si>
    <t>Company-reported (PR Jul-2024, congress slides); open-label, uncontrolled, natural-history comparison; no peer-reviewed full publication found.</t>
  </si>
  <si>
    <t>Qualify as 'company-reported open-label Phase 1/2 data (not peer-reviewed)'; avoid efficacy claims in HCP-facing materials.</t>
  </si>
  <si>
    <t>B82</t>
  </si>
  <si>
    <t>[Asset] CHAMPION 'planned, to open by end-2026'</t>
  </si>
  <si>
    <t>Registered NCT07782827; Phase 3 open-label single-arm, ~30 pts UPD/ID; Recruiting since late Sep-2026 at 1 US site (UNC).</t>
  </si>
  <si>
    <t>CHAMPION (NCT07782827) recruiting (US); EU sites not yet listed'.</t>
  </si>
  <si>
    <t>B85</t>
  </si>
  <si>
    <t>[Asset] Ionis-quoted investigator: Lynne Bird MD (UC San Diego/Rady)</t>
  </si>
  <si>
    <t>HALOS investigator/PI quoted in Ionis PR and co-presented with Ionis employee; also Duis 2022 co-author and gaboxadol Ph3 co-author. US-based — not an EU4+UK KOL. COMPLIANCE-relevant (sponsor-associated spokesperson).</t>
  </si>
  <si>
    <t>If used as advisor, record as Ionis-affiliated investigator (disclosed), not independent.</t>
  </si>
  <si>
    <t>B54</t>
  </si>
  <si>
    <t>[Asset] Competitive premise — Aspire failure</t>
  </si>
  <si>
    <t>Same-mechanism ASO apazunersen failed Phase 3 (2-Sep-2026) on Bayley-4 cognition and MDRI. Any narrative that UBE3A-ATS ASO class efficacy is established is contradicted.</t>
  </si>
  <si>
    <t>Flag class-risk in README; REVEAL differentiators = different primary endpoint, broader genotype/age, 80 mg quarterly, larger N — not proven.</t>
  </si>
  <si>
    <t>Sources_Caveats!C195</t>
  </si>
  <si>
    <t>[Asset] Rugonersen status ('discontinued/verify')</t>
  </si>
  <si>
    <t>Roche stopped development 2023; TANGELO completed; published Nature Medicine 2025; EU orphan sponsorship moved to Orphix Consulting GmbH (May-2025); Oak Hill Bio announced publication.</t>
  </si>
  <si>
    <t>Rugonersen: Roche-discontinued, out-licensed (Oak Hill Bio); no active trials'.</t>
  </si>
  <si>
    <t>n/a — no cell states this figure in the workbook</t>
  </si>
  <si>
    <t>[Asset] AS prevalence wording</t>
  </si>
  <si>
    <t>Ionis cites 1 in 21,000; Duis 2022 ~1/12,000; Danish birth incidence 1:24,580 (Mertz 2013).</t>
  </si>
  <si>
    <t>Quote range 1:12,000–1:24,000 with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</si>
</sst>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font>
      <sz val="11"/>
      <color theme="1"/>
      <name val="Calibri"/>
      <family val="2"/>
      <scheme val="minor"/>
    </font>
    <font>
      <u/>
      <sz val="11"/>
      <color theme="10"/>
      <name val="Calibri"/>
      <family val="2"/>
      <scheme val="minor"/>
    </font>
    <font>
      <b/>
      <sz val="14"/>
      <color rgb="FFFFFFFF"/>
      <name val="Arial"/>
    </font>
    <font>
      <b/>
      <sz val="12"/>
      <color rgb="FFFFFFFF"/>
      <name val="Arial"/>
    </font>
    <font>
      <sz val="10"/>
      <color theme="1"/>
      <name val="Arial"/>
    </font>
    <font>
      <b/>
      <sz val="10"/>
      <color theme="1"/>
      <name val="Arial"/>
    </font>
    <font>
      <b/>
      <sz val="10"/>
      <color rgb="FF9C0006"/>
      <name val="Arial"/>
    </font>
    <font>
      <sz val="10"/>
      <color rgb="FF9C0006"/>
      <name val="Arial"/>
    </font>
    <font>
      <sz val="11"/>
      <color theme="1"/>
      <name val="Arial"/>
    </font>
    <font>
      <b/>
      <sz val="11"/>
      <color rgb="FF1F3864"/>
      <name val="Arial"/>
    </font>
    <font>
      <u/>
      <sz val="10"/>
      <color rgb="FF0563C1"/>
      <name val="Arial"/>
    </font>
    <font>
      <b/>
      <sz val="16"/>
      <color rgb="FFFFFFFF"/>
      <name val="Arial"/>
    </font>
  </fonts>
  <fills count="8">
    <fill>
      <patternFill patternType="none"/>
    </fill>
    <fill>
      <patternFill patternType="gray125"/>
    </fill>
    <fill>
      <patternFill patternType="solid">
        <fgColor rgb="FF1F3864"/>
        <bgColor indexed="64"/>
      </patternFill>
    </fill>
    <fill>
      <patternFill patternType="solid">
        <fgColor rgb="FF2E75B6"/>
        <bgColor indexed="64"/>
      </patternFill>
    </fill>
    <fill>
      <patternFill patternType="solid">
        <fgColor rgb="FFFFC7CE"/>
        <bgColor indexed="64"/>
      </patternFill>
    </fill>
    <fill>
      <patternFill patternType="solid">
        <fgColor rgb="FFDEEAF6"/>
        <bgColor indexed="64"/>
      </patternFill>
    </fill>
    <fill>
      <patternFill patternType="solid">
        <fgColor rgb="FFD9E2F3"/>
        <bgColor indexed="64"/>
      </patternFill>
    </fill>
    <fill>
      <patternFill patternType="solid">
        <fgColor rgb="FFFFF2CC"/>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9">
    <xf numFmtId="0" fontId="0" fillId="0" borderId="0" xfId="0"/>
    <xf numFmtId="0" fontId="2" fillId="2" borderId="0" xfId="0" applyFont="1" applyFill="1" applyAlignment="1">
      <alignment vertical="center"/>
    </xf>
    <xf numFmtId="0" fontId="3" fillId="3" borderId="0" xfId="0" applyFont="1" applyFill="1" applyAlignment="1">
      <alignment horizontal="center" vertical="center" wrapText="1"/>
    </xf>
    <xf numFmtId="0" fontId="4" fillId="0" borderId="0" xfId="0" applyFont="1" applyAlignment="1">
      <alignment vertical="top" wrapText="1"/>
    </xf>
    <xf numFmtId="0" fontId="5" fillId="0" borderId="0" xfId="0" applyFont="1" applyAlignment="1">
      <alignment vertical="top" wrapText="1"/>
    </xf>
    <xf numFmtId="1" fontId="5" fillId="0" borderId="0" xfId="0" applyNumberFormat="1" applyFont="1" applyAlignment="1">
      <alignment horizontal="center" vertical="top" wrapText="1"/>
    </xf>
    <xf numFmtId="1" fontId="6" fillId="4" borderId="0" xfId="0" applyNumberFormat="1" applyFont="1" applyFill="1" applyAlignment="1">
      <alignment horizontal="center" vertical="top" wrapText="1"/>
    </xf>
    <xf numFmtId="0" fontId="7" fillId="4" borderId="0" xfId="0" applyFont="1" applyFill="1" applyAlignment="1">
      <alignment vertical="top" wrapText="1"/>
    </xf>
    <xf numFmtId="1" fontId="4" fillId="0" borderId="0" xfId="0" applyNumberFormat="1" applyFont="1" applyAlignment="1">
      <alignment horizontal="center" vertical="top" wrapText="1"/>
    </xf>
    <xf numFmtId="1" fontId="7" fillId="4" borderId="0" xfId="0" applyNumberFormat="1" applyFont="1" applyFill="1" applyAlignment="1">
      <alignment horizontal="center" vertical="top" wrapText="1"/>
    </xf>
    <xf numFmtId="0" fontId="2" fillId="2" borderId="0" xfId="0" applyFont="1" applyFill="1" applyAlignment="1">
      <alignment vertical="center" wrapText="1"/>
    </xf>
    <xf numFmtId="0" fontId="3" fillId="3" borderId="0" xfId="0" applyFont="1" applyFill="1" applyAlignment="1">
      <alignment horizontal="center" vertical="center" wrapText="1"/>
    </xf>
    <xf numFmtId="0" fontId="8" fillId="0" borderId="0" xfId="0" applyFont="1"/>
    <xf numFmtId="3" fontId="4" fillId="0" borderId="0" xfId="0" applyNumberFormat="1" applyFont="1" applyAlignment="1">
      <alignment horizontal="center" vertical="top" wrapText="1"/>
    </xf>
    <xf numFmtId="0" fontId="4" fillId="0" borderId="0" xfId="0" applyFont="1" applyAlignment="1">
      <alignment vertical="top" wrapText="1"/>
    </xf>
    <xf numFmtId="3" fontId="4" fillId="0" borderId="0" xfId="0" applyNumberFormat="1" applyFont="1" applyAlignment="1">
      <alignment horizontal="center" vertical="top" wrapText="1"/>
    </xf>
    <xf numFmtId="3" fontId="5" fillId="0" borderId="0" xfId="0" applyNumberFormat="1" applyFont="1" applyAlignment="1">
      <alignment horizontal="center" vertical="top" wrapText="1"/>
    </xf>
    <xf numFmtId="0" fontId="5" fillId="5" borderId="0" xfId="0" applyFont="1" applyFill="1" applyAlignment="1">
      <alignment vertical="top" wrapText="1"/>
    </xf>
    <xf numFmtId="3" fontId="5" fillId="5" borderId="0" xfId="0" applyNumberFormat="1" applyFont="1" applyFill="1" applyAlignment="1">
      <alignment horizontal="center" vertical="top" wrapText="1"/>
    </xf>
    <xf numFmtId="3" fontId="5" fillId="5" borderId="0" xfId="0" applyNumberFormat="1" applyFont="1" applyFill="1" applyAlignment="1">
      <alignment horizontal="center" vertical="top" wrapText="1"/>
    </xf>
    <xf numFmtId="0" fontId="5" fillId="5" borderId="0" xfId="0" applyFont="1" applyFill="1" applyAlignment="1">
      <alignment vertical="top" wrapText="1"/>
    </xf>
    <xf numFmtId="3" fontId="6" fillId="4" borderId="0" xfId="0" applyNumberFormat="1" applyFont="1" applyFill="1" applyAlignment="1">
      <alignment horizontal="center" vertical="top" wrapText="1"/>
    </xf>
    <xf numFmtId="0" fontId="9" fillId="6" borderId="0" xfId="0" applyFont="1" applyFill="1"/>
    <xf numFmtId="0" fontId="4" fillId="0" borderId="0" xfId="0" quotePrefix="1" applyFont="1" applyAlignment="1">
      <alignment vertical="top" wrapText="1"/>
    </xf>
    <xf numFmtId="0" fontId="10" fillId="0" borderId="0" xfId="1" applyFont="1" applyAlignment="1">
      <alignment vertical="top" wrapText="1"/>
    </xf>
    <xf numFmtId="0" fontId="11" fillId="2" borderId="0" xfId="0" applyFont="1" applyFill="1" applyAlignment="1">
      <alignment vertical="center"/>
    </xf>
    <xf numFmtId="0" fontId="5" fillId="0" borderId="0" xfId="0" applyFont="1" applyAlignment="1">
      <alignment horizontal="center" vertical="top" wrapText="1"/>
    </xf>
    <xf numFmtId="0" fontId="5" fillId="7" borderId="0" xfId="0" applyFont="1" applyFill="1" applyAlignment="1">
      <alignment vertical="top" wrapText="1"/>
    </xf>
    <xf numFmtId="164" fontId="4" fillId="0" borderId="0" xfId="0" applyNumberFormat="1" applyFont="1" applyAlignment="1">
      <alignment horizontal="left" vertical="top" wrapText="1"/>
    </xf>
  </cellXfs>
  <cellStyles count="2">
    <cellStyle name="Hyperlink" xfId="1" builtinId="8"/>
    <cellStyle name="Normal" xfId="0" builtinId="0"/>
  </cellStyles>
  <dxfs count="49">
    <dxf>
      <font>
        <b/>
        <i val="0"/>
        <strike val="0"/>
        <condense val="0"/>
        <extend val="0"/>
        <outline val="0"/>
        <shadow val="0"/>
        <u val="none"/>
        <vertAlign val="baseline"/>
        <sz val="10"/>
        <color theme="1"/>
        <name val="Arial"/>
        <scheme val="none"/>
      </font>
      <alignment horizontal="center"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i val="0"/>
        <strike val="0"/>
        <condense val="0"/>
        <extend val="0"/>
        <outline val="0"/>
        <shadow val="0"/>
        <u val="none"/>
        <vertAlign val="baseline"/>
        <sz val="12"/>
        <color rgb="FFFFFFFF"/>
        <name val="Arial"/>
        <scheme val="none"/>
      </font>
      <fill>
        <patternFill patternType="solid">
          <fgColor indexed="64"/>
          <bgColor rgb="FF2E75B6"/>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ertAlign val="baseline"/>
        <sz val="10"/>
        <color rgb="FF0563C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i val="0"/>
        <strike val="0"/>
        <condense val="0"/>
        <extend val="0"/>
        <outline val="0"/>
        <shadow val="0"/>
        <u val="none"/>
        <vertAlign val="baseline"/>
        <sz val="12"/>
        <color rgb="FFFFFFFF"/>
        <name val="Arial"/>
        <scheme val="none"/>
      </font>
      <fill>
        <patternFill patternType="solid">
          <fgColor indexed="64"/>
          <bgColor rgb="FF2E75B6"/>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Arial"/>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1" formatCode="0"/>
      <alignment horizontal="center" vertical="top" textRotation="0" wrapText="1" indent="0" justifyLastLine="0" shrinkToFit="0" readingOrder="0"/>
    </dxf>
    <dxf>
      <font>
        <b/>
        <i val="0"/>
        <strike val="0"/>
        <condense val="0"/>
        <extend val="0"/>
        <outline val="0"/>
        <shadow val="0"/>
        <u val="none"/>
        <vertAlign val="baseline"/>
        <sz val="10"/>
        <color theme="1"/>
        <name val="Arial"/>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center" vertical="top" textRotation="0" wrapText="1" indent="0" justifyLastLine="0" shrinkToFit="0" readingOrder="0"/>
    </dxf>
    <dxf>
      <font>
        <b/>
        <i val="0"/>
        <strike val="0"/>
        <condense val="0"/>
        <extend val="0"/>
        <outline val="0"/>
        <shadow val="0"/>
        <u val="none"/>
        <vertAlign val="baseline"/>
        <sz val="12"/>
        <color rgb="FFFFFFFF"/>
        <name val="Arial"/>
        <scheme val="none"/>
      </font>
      <fill>
        <patternFill patternType="solid">
          <fgColor indexed="64"/>
          <bgColor rgb="FF2E75B6"/>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Arial"/>
        <scheme val="none"/>
      </font>
      <numFmt numFmtId="1" formatCode="0"/>
      <alignment horizontal="center"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i val="0"/>
        <strike val="0"/>
        <condense val="0"/>
        <extend val="0"/>
        <outline val="0"/>
        <shadow val="0"/>
        <u val="none"/>
        <vertAlign val="baseline"/>
        <sz val="12"/>
        <color rgb="FFFFFFFF"/>
        <name val="Arial"/>
        <scheme val="none"/>
      </font>
      <fill>
        <patternFill patternType="solid">
          <fgColor indexed="64"/>
          <bgColor rgb="FF2E75B6"/>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009140-AFBB-4A6C-89D5-185915FCC337}" name="tblCountryCentres" displayName="tblCountryCentres" ref="A2:M97" totalsRowShown="0" headerRowDxfId="48" dataDxfId="47">
  <autoFilter ref="A2:M97" xr:uid="{3F009140-AFBB-4A6C-89D5-185915FCC337}"/>
  <tableColumns count="13">
    <tableColumn id="1" xr3:uid="{03D78A0D-94BC-41A3-A6B3-2EA6DAA42B44}" name="Country" dataDxfId="46"/>
    <tableColumn id="2" xr3:uid="{E3CFD853-1CCA-4C28-A236-227E8942E0DB}" name="Tier" dataDxfId="45"/>
    <tableColumn id="3" xr3:uid="{13A42FEA-57F8-40CF-B688-DCFA5B905613}" name="City" dataDxfId="44"/>
    <tableColumn id="4" xr3:uid="{6AB8CFC8-FCC4-4A4B-ADE4-5DA69B6FFCA8}" name="Centre / Hospital" dataDxfId="43"/>
    <tableColumn id="5" xr3:uid="{F1CCC829-BDE9-4BF8-8E16-2F561130D91D}" name="Unit / Department" dataDxfId="42"/>
    <tableColumn id="6" xr3:uid="{176362DB-B8A7-4547-AF6D-34881757A6A6}" name="KOL / Lead clinician(s)" dataDxfId="41"/>
    <tableColumn id="7" xr3:uid="{08C6ED36-4FC5-475E-AD2A-1B3AA2C52E99}" name="Role / Affiliation signal" dataDxfId="40"/>
    <tableColumn id="8" xr3:uid="{50DDB4A8-53AB-4EDA-B04B-54B4366A6CC6}" name="P1 — Consensus 2022 / national guideline author" dataDxfId="39"/>
    <tableColumn id="9" xr3:uid="{FFE7F091-03F2-459E-A873-FBD3CF19CA6C}" name="P2 — AS publications / ION582 or competitor trial (5y)" dataDxfId="38"/>
    <tableColumn id="10" xr3:uid="{DBCB178A-E52C-499C-8C2E-4288DB44F4CB}" name="P3 — AS registry / trial-network coord/site" dataDxfId="37"/>
    <tableColumn id="11" xr3:uid="{A0A30DFE-AA87-4840-8DED-9C65AAE26413}" name="P4 — ERN ITHACA / EpiCARE HCP" dataDxfId="36"/>
    <tableColumn id="12" xr3:uid="{E050A2A3-F804-47C3-B078-510A8851399C}" name="P5 — Angelman clinic / programme" dataDxfId="35"/>
    <tableColumn id="13" xr3:uid="{B0F26275-AD86-4ECF-9F70-B8D6ACBC13B3}" name="Notes" dataDxfId="3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6D8D6D-D8E3-44C9-AA66-69C17D4EC342}" name="tblKOLRoster" displayName="tblKOLRoster" ref="A2:S99" totalsRowShown="0" headerRowDxfId="33" dataDxfId="32">
  <autoFilter ref="A2:S99" xr:uid="{7B6D8D6D-D8E3-44C9-AA66-69C17D4EC342}"/>
  <tableColumns count="19">
    <tableColumn id="1" xr3:uid="{461C21C8-65CD-4CB8-923C-CC398B89BC21}" name="Country" dataDxfId="31"/>
    <tableColumn id="2" xr3:uid="{A7470A76-1BB5-4174-BF38-ADF4C37EB336}" name="KOL" dataDxfId="30"/>
    <tableColumn id="3" xr3:uid="{8A4E972E-7A53-470D-B127-805C5F854243}" name="Primary affiliation" dataDxfId="29"/>
    <tableColumn id="4" xr3:uid="{F515855F-96D0-416B-B5C5-B627380D2DD8}" name="Role/Signal" dataDxfId="28"/>
    <tableColumn id="5" xr3:uid="{1B8BCC67-EC91-43FA-9B66-1B0E33E3A457}" name="P1 guideline author" dataDxfId="27"/>
    <tableColumn id="6" xr3:uid="{2D59CF56-86D2-4D5B-9D5D-2275B045D06D}" name="P3 registry role" dataDxfId="26"/>
    <tableColumn id="7" xr3:uid="{212A835E-A6AF-4AC6-B67F-22AD40414DEA}" name="Key publications/datasets (P2)" dataDxfId="25"/>
    <tableColumn id="8" xr3:uid="{4951443A-AC26-40ED-AC96-4F8CE050BCA3}" name="Presentation at international conferences" dataDxfId="24"/>
    <tableColumn id="9" xr3:uid="{F05F512F-112C-4EBF-BEAB-267E94CCD583}" name="Engagement priority" dataDxfId="23"/>
    <tableColumn id="10" xr3:uid="{A9CAA225-01C8-45F1-9E37-30AAF463E6BF}" name="KOL Tier for TOV" dataDxfId="22">
      <calculatedColumnFormula>IF(R3&gt;=24,1,IF(R3&gt;=12,2,3))</calculatedColumnFormula>
    </tableColumn>
    <tableColumn id="11" xr3:uid="{E21FBED8-EF76-44DF-A4D0-FE3986627DAC}" name="Score — Guideline authorship" dataDxfId="21"/>
    <tableColumn id="12" xr3:uid="{B5E408F5-5F87-4BDA-B5BD-A4D1E94EFF0C}" name="Score — Publications" dataDxfId="20"/>
    <tableColumn id="13" xr3:uid="{C58FFB27-92A6-42B9-A037-2AA997B7B9C6}" name="Score — Clinical trials" dataDxfId="19"/>
    <tableColumn id="14" xr3:uid="{65FB804E-AFDA-466A-AEE7-0B659E16743A}" name="Score — Academic appointment" dataDxfId="18"/>
    <tableColumn id="15" xr3:uid="{67FE4D03-F7E0-4FAB-9D62-331E884B4160}" name="Score — Society roles" dataDxfId="17"/>
    <tableColumn id="16" xr3:uid="{F4110256-8294-43FD-A894-940F44176A40}" name="Score — Speaker engagement" dataDxfId="16"/>
    <tableColumn id="17" xr3:uid="{B05C5539-F28B-4DC9-A4B7-E76E3134228E}" name="Score — Awards" dataDxfId="15"/>
    <tableColumn id="18" xr3:uid="{EC75D25C-97EB-48AC-B824-1456F590AE34}" name="Total score" dataDxfId="14">
      <calculatedColumnFormula>SUM(K3:Q3)</calculatedColumnFormula>
    </tableColumn>
    <tableColumn id="19" xr3:uid="{A00E6437-4506-445A-B19D-438781249642}" name="Sources" dataDxfId="1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57F6DE-8078-4C11-AD6C-BE663E4B1B2F}" name="tblSources" displayName="tblSources" ref="A2:C152" totalsRowShown="0" headerRowDxfId="12">
  <autoFilter ref="A2:C152" xr:uid="{FB57F6DE-8078-4C11-AD6C-BE663E4B1B2F}"/>
  <tableColumns count="3">
    <tableColumn id="1" xr3:uid="{03DF3B13-032F-4115-8535-ED4A0D38BB32}" name="Authoritative source" dataDxfId="11"/>
    <tableColumn id="2" xr3:uid="{106BF69D-0A5E-492A-9346-21C2AB4F39D2}" name="URL / reference" dataDxfId="10" dataCellStyle="Hyperlink"/>
    <tableColumn id="3" xr3:uid="{8A329F26-4485-4B3E-A3F9-F81C395C5B48}" name="What it provides" dataDxfId="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2556E5-D3F4-4DE2-92DA-4A6632B93C79}" name="tblVerificationFlags" displayName="tblVerificationFlags" ref="A2:G94" totalsRowShown="0" headerRowDxfId="8" dataDxfId="7">
  <autoFilter ref="A2:G94" xr:uid="{D82556E5-D3F4-4DE2-92DA-4A6632B93C79}"/>
  <tableColumns count="7">
    <tableColumn id="1" xr3:uid="{3F36D7A2-8DDE-47FF-9B67-1C1609E3B226}" name="#" dataDxfId="6"/>
    <tableColumn id="2" xr3:uid="{934CCFE3-110E-4368-B656-021FB2B13EB0}" name="Sheet" dataDxfId="5"/>
    <tableColumn id="3" xr3:uid="{C3E48A81-18D3-4E3D-8851-2122A3F55D2E}" name="Cell(s)" dataDxfId="4"/>
    <tableColumn id="4" xr3:uid="{8C7CBE4A-C3E8-400F-884D-0BFE8A8B8D14}" name="Item" dataDxfId="3"/>
    <tableColumn id="5" xr3:uid="{21197B22-5C69-4662-9EA1-777250A82758}" name="Finding" dataDxfId="2"/>
    <tableColumn id="6" xr3:uid="{C0298C90-D423-4881-9DFC-4EF448BC2D70}" name="Recommended correction" dataDxfId="1"/>
    <tableColumn id="7" xr3:uid="{2B9102C0-439F-4BCC-840C-91C068AEC4A1}" name="Verdic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2"/>
  <sheetViews>
    <sheetView workbookViewId="0">
      <pane ySplit="1" topLeftCell="A2" activePane="bottomLeft" state="frozen"/>
      <selection pane="bottomLeft"/>
    </sheetView>
  </sheetViews>
  <sheetFormatPr defaultRowHeight="15"/>
  <cols>
    <col min="1" max="1" width="36.7109375" customWidth="1"/>
    <col min="2" max="2" width="120.7109375" customWidth="1"/>
    <col min="3" max="3" width="50.7109375" customWidth="1"/>
  </cols>
  <sheetData>
    <row r="1" spans="1:3" ht="30" customHeight="1">
      <c r="A1" s="25" t="s">
        <v>0</v>
      </c>
      <c r="B1" s="25"/>
      <c r="C1" s="25"/>
    </row>
    <row r="3" spans="1:3" ht="24" customHeight="1">
      <c r="A3" s="10" t="s">
        <v>1</v>
      </c>
      <c r="B3" s="10"/>
      <c r="C3" s="10"/>
    </row>
    <row r="4" spans="1:3" ht="17.25" customHeight="1">
      <c r="A4" s="4" t="s">
        <v>2</v>
      </c>
      <c r="B4" s="3" t="s">
        <v>0</v>
      </c>
      <c r="C4" s="3"/>
    </row>
    <row r="5" spans="1:3" ht="17.25" customHeight="1">
      <c r="A5" s="4" t="s">
        <v>3</v>
      </c>
      <c r="B5" s="3" t="s">
        <v>4</v>
      </c>
      <c r="C5" s="3"/>
    </row>
    <row r="6" spans="1:3" ht="17.25" customHeight="1">
      <c r="A6" s="4" t="s">
        <v>5</v>
      </c>
      <c r="B6" s="3" t="s">
        <v>6</v>
      </c>
      <c r="C6" s="3"/>
    </row>
    <row r="7" spans="1:3" ht="17.25" customHeight="1">
      <c r="A7" s="4" t="s">
        <v>7</v>
      </c>
      <c r="B7" s="3" t="s">
        <v>8</v>
      </c>
      <c r="C7" s="3"/>
    </row>
    <row r="8" spans="1:3" ht="17.25" customHeight="1">
      <c r="A8" s="4" t="s">
        <v>9</v>
      </c>
      <c r="B8" s="28">
        <v>46309</v>
      </c>
      <c r="C8" s="3"/>
    </row>
    <row r="9" spans="1:3" ht="17.25" customHeight="1">
      <c r="A9" s="4" t="s">
        <v>10</v>
      </c>
      <c r="B9" s="3" t="s">
        <v>11</v>
      </c>
      <c r="C9" s="3"/>
    </row>
    <row r="10" spans="1:3" ht="30" customHeight="1">
      <c r="A10" s="4" t="s">
        <v>12</v>
      </c>
      <c r="B10" s="3" t="s">
        <v>13</v>
      </c>
      <c r="C10" s="3"/>
    </row>
    <row r="11" spans="1:3" ht="17.25" customHeight="1">
      <c r="A11" s="4" t="s">
        <v>14</v>
      </c>
      <c r="B11" s="3" t="s">
        <v>15</v>
      </c>
      <c r="C11" s="3"/>
    </row>
    <row r="12" spans="1:3">
      <c r="A12" s="12"/>
      <c r="B12" s="12"/>
      <c r="C12" s="12"/>
    </row>
    <row r="13" spans="1:3" ht="24" customHeight="1">
      <c r="A13" s="10" t="s">
        <v>16</v>
      </c>
      <c r="B13" s="10"/>
      <c r="C13" s="10"/>
    </row>
    <row r="14" spans="1:3" ht="30" customHeight="1">
      <c r="A14" s="4" t="s">
        <v>17</v>
      </c>
      <c r="B14" s="3" t="s">
        <v>18</v>
      </c>
      <c r="C14" s="3"/>
    </row>
    <row r="15" spans="1:3" ht="17.25" customHeight="1">
      <c r="A15" s="4" t="s">
        <v>19</v>
      </c>
      <c r="B15" s="3" t="s">
        <v>20</v>
      </c>
      <c r="C15" s="3"/>
    </row>
    <row r="16" spans="1:3" ht="30" customHeight="1">
      <c r="A16" s="4" t="s">
        <v>21</v>
      </c>
      <c r="B16" s="3" t="s">
        <v>22</v>
      </c>
      <c r="C16" s="3"/>
    </row>
    <row r="17" spans="1:3" ht="30" customHeight="1">
      <c r="A17" s="4" t="s">
        <v>23</v>
      </c>
      <c r="B17" s="3" t="s">
        <v>24</v>
      </c>
      <c r="C17" s="3"/>
    </row>
    <row r="18" spans="1:3" ht="30" customHeight="1">
      <c r="A18" s="4" t="s">
        <v>25</v>
      </c>
      <c r="B18" s="3" t="s">
        <v>26</v>
      </c>
      <c r="C18" s="3"/>
    </row>
    <row r="19" spans="1:3" ht="30" customHeight="1">
      <c r="A19" s="4" t="s">
        <v>27</v>
      </c>
      <c r="B19" s="3" t="s">
        <v>28</v>
      </c>
      <c r="C19" s="3"/>
    </row>
    <row r="20" spans="1:3" ht="30" customHeight="1">
      <c r="A20" s="4" t="s">
        <v>29</v>
      </c>
      <c r="B20" s="3" t="s">
        <v>30</v>
      </c>
      <c r="C20" s="3"/>
    </row>
    <row r="21" spans="1:3">
      <c r="A21" s="12"/>
      <c r="B21" s="12"/>
      <c r="C21" s="12"/>
    </row>
    <row r="22" spans="1:3" ht="24" customHeight="1">
      <c r="A22" s="10" t="s">
        <v>31</v>
      </c>
      <c r="B22" s="10"/>
      <c r="C22" s="10"/>
    </row>
    <row r="23" spans="1:3" ht="56.25" customHeight="1">
      <c r="A23" s="4" t="s">
        <v>32</v>
      </c>
      <c r="B23" s="3" t="s">
        <v>33</v>
      </c>
      <c r="C23" s="3"/>
    </row>
    <row r="24" spans="1:3" ht="42.75" customHeight="1">
      <c r="A24" s="4" t="s">
        <v>34</v>
      </c>
      <c r="B24" s="3" t="s">
        <v>35</v>
      </c>
      <c r="C24" s="3"/>
    </row>
    <row r="25" spans="1:3" ht="42.75" customHeight="1">
      <c r="A25" s="4" t="s">
        <v>36</v>
      </c>
      <c r="B25" s="3" t="s">
        <v>37</v>
      </c>
      <c r="C25" s="3"/>
    </row>
    <row r="26" spans="1:3" ht="42.75" customHeight="1">
      <c r="A26" s="4" t="s">
        <v>38</v>
      </c>
      <c r="B26" s="3" t="s">
        <v>39</v>
      </c>
      <c r="C26" s="3"/>
    </row>
    <row r="27" spans="1:3" ht="30" customHeight="1">
      <c r="A27" s="4" t="s">
        <v>40</v>
      </c>
      <c r="B27" s="3" t="s">
        <v>41</v>
      </c>
      <c r="C27" s="3"/>
    </row>
    <row r="28" spans="1:3">
      <c r="A28" s="12"/>
      <c r="B28" s="12"/>
      <c r="C28" s="12"/>
    </row>
    <row r="29" spans="1:3" ht="24" customHeight="1">
      <c r="A29" s="10" t="s">
        <v>42</v>
      </c>
      <c r="B29" s="10"/>
      <c r="C29" s="10"/>
    </row>
    <row r="30" spans="1:3" ht="42.75" customHeight="1">
      <c r="A30" s="4" t="s">
        <v>43</v>
      </c>
      <c r="B30" s="3" t="s">
        <v>44</v>
      </c>
      <c r="C30" s="3"/>
    </row>
    <row r="31" spans="1:3" ht="42.75" customHeight="1">
      <c r="A31" s="4" t="s">
        <v>45</v>
      </c>
      <c r="B31" s="3" t="s">
        <v>46</v>
      </c>
      <c r="C31" s="3"/>
    </row>
    <row r="32" spans="1:3" ht="42.75" customHeight="1">
      <c r="A32" s="4" t="s">
        <v>47</v>
      </c>
      <c r="B32" s="3" t="s">
        <v>48</v>
      </c>
      <c r="C32" s="3"/>
    </row>
    <row r="33" spans="1:3" ht="42.75" customHeight="1">
      <c r="A33" s="4" t="s">
        <v>49</v>
      </c>
      <c r="B33" s="3" t="s">
        <v>50</v>
      </c>
      <c r="C33" s="3"/>
    </row>
    <row r="34" spans="1:3" ht="30" customHeight="1">
      <c r="A34" s="4" t="s">
        <v>51</v>
      </c>
      <c r="B34" s="3" t="s">
        <v>52</v>
      </c>
      <c r="C34" s="3"/>
    </row>
    <row r="35" spans="1:3">
      <c r="A35" s="12"/>
      <c r="B35" s="12"/>
      <c r="C35" s="12"/>
    </row>
    <row r="36" spans="1:3" ht="24" customHeight="1">
      <c r="A36" s="10" t="s">
        <v>53</v>
      </c>
      <c r="B36" s="10"/>
      <c r="C36" s="10"/>
    </row>
    <row r="37" spans="1:3" ht="17.25" customHeight="1">
      <c r="A37" s="4" t="s">
        <v>54</v>
      </c>
      <c r="B37" s="3" t="s">
        <v>55</v>
      </c>
      <c r="C37" s="3"/>
    </row>
    <row r="38" spans="1:3" ht="42.75" customHeight="1">
      <c r="A38" s="4" t="s">
        <v>56</v>
      </c>
      <c r="B38" s="3" t="s">
        <v>57</v>
      </c>
      <c r="C38" s="3"/>
    </row>
    <row r="39" spans="1:3" ht="42.75" customHeight="1">
      <c r="A39" s="4" t="s">
        <v>58</v>
      </c>
      <c r="B39" s="3" t="s">
        <v>59</v>
      </c>
      <c r="C39" s="3"/>
    </row>
    <row r="40" spans="1:3" ht="42.75" customHeight="1">
      <c r="A40" s="4" t="s">
        <v>60</v>
      </c>
      <c r="B40" s="3" t="s">
        <v>61</v>
      </c>
      <c r="C40" s="3"/>
    </row>
    <row r="41" spans="1:3" ht="42.75" customHeight="1">
      <c r="A41" s="4" t="s">
        <v>62</v>
      </c>
      <c r="B41" s="3" t="s">
        <v>63</v>
      </c>
      <c r="C41" s="3"/>
    </row>
    <row r="42" spans="1:3" ht="42.75" customHeight="1">
      <c r="A42" s="4" t="s">
        <v>64</v>
      </c>
      <c r="B42" s="3" t="s">
        <v>65</v>
      </c>
      <c r="C42" s="3"/>
    </row>
    <row r="43" spans="1:3" ht="42.75" customHeight="1">
      <c r="A43" s="4" t="s">
        <v>66</v>
      </c>
      <c r="B43" s="3" t="s">
        <v>67</v>
      </c>
      <c r="C43" s="3"/>
    </row>
    <row r="44" spans="1:3" ht="17.25" customHeight="1">
      <c r="A44" s="4" t="s">
        <v>68</v>
      </c>
      <c r="B44" s="3" t="s">
        <v>69</v>
      </c>
      <c r="C44" s="3"/>
    </row>
    <row r="45" spans="1:3" ht="42.75" customHeight="1">
      <c r="A45" s="4" t="s">
        <v>70</v>
      </c>
      <c r="B45" s="3" t="s">
        <v>71</v>
      </c>
      <c r="C45" s="3"/>
    </row>
    <row r="46" spans="1:3" ht="17.25" customHeight="1">
      <c r="A46" s="4" t="s">
        <v>72</v>
      </c>
      <c r="B46" s="3" t="s">
        <v>73</v>
      </c>
      <c r="C46" s="3"/>
    </row>
    <row r="47" spans="1:3" ht="17.25" customHeight="1">
      <c r="A47" s="4" t="s">
        <v>74</v>
      </c>
      <c r="B47" s="3" t="s">
        <v>75</v>
      </c>
      <c r="C47" s="3"/>
    </row>
    <row r="48" spans="1:3" ht="17.25" customHeight="1">
      <c r="A48" s="4" t="s">
        <v>76</v>
      </c>
      <c r="B48" s="3" t="s">
        <v>77</v>
      </c>
      <c r="C48" s="3"/>
    </row>
    <row r="49" spans="1:3" ht="17.25" customHeight="1">
      <c r="A49" s="4" t="s">
        <v>78</v>
      </c>
      <c r="B49" s="3" t="s">
        <v>79</v>
      </c>
      <c r="C49" s="3"/>
    </row>
    <row r="50" spans="1:3" ht="30" customHeight="1">
      <c r="A50" s="4" t="s">
        <v>80</v>
      </c>
      <c r="B50" s="3" t="s">
        <v>81</v>
      </c>
      <c r="C50" s="3"/>
    </row>
    <row r="51" spans="1:3" ht="42.75" customHeight="1">
      <c r="A51" s="4" t="s">
        <v>82</v>
      </c>
      <c r="B51" s="3" t="s">
        <v>83</v>
      </c>
      <c r="C51" s="3"/>
    </row>
    <row r="52" spans="1:3">
      <c r="A52" s="12"/>
      <c r="B52" s="12"/>
      <c r="C52" s="12"/>
    </row>
    <row r="53" spans="1:3" ht="24" customHeight="1">
      <c r="A53" s="10" t="s">
        <v>84</v>
      </c>
      <c r="B53" s="10"/>
      <c r="C53" s="10"/>
    </row>
    <row r="54" spans="1:3" ht="30" customHeight="1">
      <c r="A54" s="4" t="s">
        <v>85</v>
      </c>
      <c r="B54" s="7" t="s">
        <v>86</v>
      </c>
      <c r="C54" s="3"/>
    </row>
    <row r="55" spans="1:3" ht="30" customHeight="1">
      <c r="A55" s="4" t="s">
        <v>87</v>
      </c>
      <c r="B55" s="3" t="s">
        <v>88</v>
      </c>
      <c r="C55" s="3"/>
    </row>
    <row r="56" spans="1:3" ht="30" customHeight="1">
      <c r="A56" s="4" t="s">
        <v>89</v>
      </c>
      <c r="B56" s="3" t="s">
        <v>90</v>
      </c>
      <c r="C56" s="3"/>
    </row>
    <row r="57" spans="1:3" ht="30" customHeight="1">
      <c r="A57" s="4" t="s">
        <v>91</v>
      </c>
      <c r="B57" s="3" t="s">
        <v>92</v>
      </c>
      <c r="C57" s="3"/>
    </row>
    <row r="58" spans="1:3" ht="30" customHeight="1">
      <c r="A58" s="4" t="s">
        <v>93</v>
      </c>
      <c r="B58" s="3" t="s">
        <v>94</v>
      </c>
      <c r="C58" s="3"/>
    </row>
    <row r="59" spans="1:3" ht="30" customHeight="1">
      <c r="A59" s="4" t="s">
        <v>95</v>
      </c>
      <c r="B59" s="3" t="s">
        <v>96</v>
      </c>
      <c r="C59" s="3"/>
    </row>
    <row r="60" spans="1:3" ht="17.25" customHeight="1">
      <c r="A60" s="4" t="s">
        <v>97</v>
      </c>
      <c r="B60" s="3" t="s">
        <v>98</v>
      </c>
      <c r="C60" s="3"/>
    </row>
    <row r="61" spans="1:3" ht="30" customHeight="1">
      <c r="A61" s="4" t="s">
        <v>99</v>
      </c>
      <c r="B61" s="3" t="s">
        <v>100</v>
      </c>
      <c r="C61" s="3"/>
    </row>
    <row r="62" spans="1:3" ht="42.75" customHeight="1">
      <c r="A62" s="4" t="s">
        <v>101</v>
      </c>
      <c r="B62" s="3" t="s">
        <v>102</v>
      </c>
      <c r="C62" s="3"/>
    </row>
    <row r="63" spans="1:3" ht="30" customHeight="1">
      <c r="A63" s="4" t="s">
        <v>103</v>
      </c>
      <c r="B63" s="3" t="s">
        <v>104</v>
      </c>
      <c r="C63" s="3"/>
    </row>
    <row r="64" spans="1:3">
      <c r="A64" s="12"/>
      <c r="B64" s="12"/>
      <c r="C64" s="12"/>
    </row>
    <row r="65" spans="1:3" ht="24" customHeight="1">
      <c r="A65" s="10" t="s">
        <v>105</v>
      </c>
      <c r="B65" s="10"/>
      <c r="C65" s="10"/>
    </row>
    <row r="66" spans="1:3" ht="69" customHeight="1">
      <c r="A66" s="4" t="s">
        <v>106</v>
      </c>
      <c r="B66" s="3" t="s">
        <v>107</v>
      </c>
      <c r="C66" s="3"/>
    </row>
    <row r="67" spans="1:3" ht="30" customHeight="1">
      <c r="A67" s="4" t="s">
        <v>108</v>
      </c>
      <c r="B67" s="3" t="s">
        <v>109</v>
      </c>
      <c r="C67" s="3"/>
    </row>
    <row r="68" spans="1:3" ht="42.75" customHeight="1">
      <c r="A68" s="4" t="s">
        <v>110</v>
      </c>
      <c r="B68" s="3" t="s">
        <v>111</v>
      </c>
      <c r="C68" s="24" t="str">
        <f>HYPERLINK("https://ir.ionis.com/news-releases/news-release-details/ionis-completes-enrollment-pivotal-cohort-phase-3-reveal-study","https://ir.ionis.com/news-releases/news-release-details/ionis-completes-enrollment-pivotal-cohort-phase-3-reveal-study")</f>
        <v>https://ir.ionis.com/news-releases/news-release-details/ionis-completes-enrollment-pivotal-cohort-phase-3-reveal-study</v>
      </c>
    </row>
    <row r="69" spans="1:3" ht="42.75" customHeight="1">
      <c r="A69" s="4" t="s">
        <v>112</v>
      </c>
      <c r="B69" s="3" t="s">
        <v>113</v>
      </c>
      <c r="C69" s="24" t="str">
        <f>HYPERLINK("https://clinicaltrials.gov/study/NCT06914609","https://clinicaltrials.gov/study/NCT06914609")</f>
        <v>https://clinicaltrials.gov/study/NCT06914609</v>
      </c>
    </row>
    <row r="70" spans="1:3" ht="42.75" customHeight="1">
      <c r="A70" s="4" t="s">
        <v>114</v>
      </c>
      <c r="B70" s="7" t="s">
        <v>115</v>
      </c>
      <c r="C70" s="24" t="str">
        <f>HYPERLINK("https://clinicaltrials.gov/study/NCT06914609","https://clinicaltrials.gov/study/NCT06914609")</f>
        <v>https://clinicaltrials.gov/study/NCT06914609</v>
      </c>
    </row>
    <row r="71" spans="1:3" ht="42.75" customHeight="1">
      <c r="A71" s="4" t="s">
        <v>116</v>
      </c>
      <c r="B71" s="3" t="s">
        <v>117</v>
      </c>
      <c r="C71" s="24" t="str">
        <f>HYPERLINK("https://ir.ionis.com/news-releases/news-release-details/ionis-announces-pivotal-phase-3-trial-design-ion582-angelman","https://ir.ionis.com/news-releases/news-release-details/ionis-announces-pivotal-phase-3-trial-design-ion582-angelman")</f>
        <v>https://ir.ionis.com/news-releases/news-release-details/ionis-announces-pivotal-phase-3-trial-design-ion582-angelman</v>
      </c>
    </row>
    <row r="72" spans="1:3" ht="56.25" customHeight="1">
      <c r="A72" s="4" t="s">
        <v>118</v>
      </c>
      <c r="B72" s="3" t="s">
        <v>119</v>
      </c>
      <c r="C72" s="24" t="str">
        <f>HYPERLINK("https://clinicaltrials.gov/study/NCT06914609","https://clinicaltrials.gov/study/NCT06914609")</f>
        <v>https://clinicaltrials.gov/study/NCT06914609</v>
      </c>
    </row>
    <row r="73" spans="1:3" ht="42.75" customHeight="1">
      <c r="A73" s="4" t="s">
        <v>120</v>
      </c>
      <c r="B73" s="7" t="s">
        <v>121</v>
      </c>
      <c r="C73" s="24" t="str">
        <f>HYPERLINK("https://ir.ionis.com/news-releases/news-release-details/ionis-completes-enrollment-pivotal-cohort-phase-3-reveal-study","https://ir.ionis.com/news-releases/news-release-details/ionis-completes-enrollment-pivotal-cohort-phase-3-reveal-study")</f>
        <v>https://ir.ionis.com/news-releases/news-release-details/ionis-completes-enrollment-pivotal-cohort-phase-3-reveal-study</v>
      </c>
    </row>
    <row r="74" spans="1:3" ht="30" customHeight="1">
      <c r="A74" s="4" t="s">
        <v>122</v>
      </c>
      <c r="B74" s="3" t="s">
        <v>123</v>
      </c>
      <c r="C74" s="24" t="str">
        <f>HYPERLINK("https://angelman.org/wp-content/uploads/2026/04/Ionis-REVEAL-sites-EU_community-letter.pdf","https://angelman.org/wp-content/uploads/2026/04/Ionis-REVEAL-sites-EU_community-letter.pdf")</f>
        <v>https://angelman.org/wp-content/uploads/2026/04/Ionis-REVEAL-sites-EU_community-letter.pdf</v>
      </c>
    </row>
    <row r="75" spans="1:3" ht="30" customHeight="1">
      <c r="A75" s="4" t="s">
        <v>124</v>
      </c>
      <c r="B75" s="7" t="s">
        <v>125</v>
      </c>
      <c r="C75" s="24" t="str">
        <f>HYPERLINK("https://angelman.org/wp-content/uploads/2026/04/Ionis-REVEAL-sites-EU_community-letter.pdf","https://angelman.org/wp-content/uploads/2026/04/Ionis-REVEAL-sites-EU_community-letter.pdf")</f>
        <v>https://angelman.org/wp-content/uploads/2026/04/Ionis-REVEAL-sites-EU_community-letter.pdf</v>
      </c>
    </row>
    <row r="76" spans="1:3" ht="42.75" customHeight="1">
      <c r="A76" s="4" t="s">
        <v>126</v>
      </c>
      <c r="B76" s="7" t="s">
        <v>127</v>
      </c>
      <c r="C76" s="24" t="str">
        <f>HYPERLINK("https://sindromediangelman.org/wp-content/uploads/2026/05/PA-IT-AS-260001-Community-Statement-REVEAL-Opens-in-Italy-052626.pdf","https://sindromediangelman.org/wp-content/uploads/2026/05/PA-IT-AS-260001-Community-Statement-REVEAL-Opens-in-Italy-052626.pdf")</f>
        <v>https://sindromediangelman.org/wp-content/uploads/2026/05/PA-IT-AS-260001-Community-Statement-REVEAL-Opens-in-Italy-052626.pdf</v>
      </c>
    </row>
    <row r="77" spans="1:3" ht="42.75" customHeight="1">
      <c r="A77" s="4" t="s">
        <v>128</v>
      </c>
      <c r="B77" s="7" t="s">
        <v>129</v>
      </c>
      <c r="C77" s="24" t="str">
        <f>HYPERLINK("https://www.biospace.com/ionis-announces-positive-detailed-results-from-the-halos-study-of-ion582-in-people-with-angelman-syndrome","https://www.biospace.com/ionis-announces-positive-detailed-results-from-the-halos-study-of-ion582-in-people-with-angelman-syndrome")</f>
        <v>https://www.biospace.com/ionis-announces-positive-detailed-results-from-the-halos-study-of-ion582-in-people-with-angelman-syndrome</v>
      </c>
    </row>
    <row r="78" spans="1:3" ht="42.75" customHeight="1">
      <c r="A78" s="4" t="s">
        <v>130</v>
      </c>
      <c r="B78" s="7" t="s">
        <v>131</v>
      </c>
      <c r="C78" s="24" t="str">
        <f>HYPERLINK("https://ir.ionis.com/news-releases/news-release-details/ionis-announces-positive-topline-results-phase-12a-trial-ion582","https://ir.ionis.com/news-releases/news-release-details/ionis-announces-positive-topline-results-phase-12a-trial-ion582")</f>
        <v>https://ir.ionis.com/news-releases/news-release-details/ionis-announces-positive-topline-results-phase-12a-trial-ion582</v>
      </c>
    </row>
    <row r="79" spans="1:3" ht="30" customHeight="1">
      <c r="A79" s="4" t="s">
        <v>132</v>
      </c>
      <c r="B79" s="3" t="s">
        <v>133</v>
      </c>
      <c r="C79" s="24" t="str">
        <f>HYPERLINK("https://eichor.com/study/NCT05127226","https://eichor.com/study/NCT05127226")</f>
        <v>https://eichor.com/study/NCT05127226</v>
      </c>
    </row>
    <row r="80" spans="1:3" ht="30" customHeight="1">
      <c r="A80" s="4" t="s">
        <v>134</v>
      </c>
      <c r="B80" s="3" t="s">
        <v>135</v>
      </c>
      <c r="C80" s="24" t="str">
        <f>HYPERLINK("https://ionis.com/taxonomy/term/566","https://ionis.com/taxonomy/term/566")</f>
        <v>https://ionis.com/taxonomy/term/566</v>
      </c>
    </row>
    <row r="81" spans="1:3" ht="42.75" customHeight="1">
      <c r="A81" s="4" t="s">
        <v>136</v>
      </c>
      <c r="B81" s="3" t="s">
        <v>137</v>
      </c>
      <c r="C81" s="24" t="str">
        <f>HYPERLINK("https://eichor.com/study/NCT07782827","https://eichor.com/study/NCT07782827")</f>
        <v>https://eichor.com/study/NCT07782827</v>
      </c>
    </row>
    <row r="82" spans="1:3" ht="30" customHeight="1">
      <c r="A82" s="4" t="s">
        <v>138</v>
      </c>
      <c r="B82" s="7" t="s">
        <v>139</v>
      </c>
      <c r="C82" s="24" t="str">
        <f>HYPERLINK("https://angelman.org/wp-content/uploads/2026/07/Ionis-update-REVEAL-July2026.pdf","https://angelman.org/wp-content/uploads/2026/07/Ionis-update-REVEAL-July2026.pdf")</f>
        <v>https://angelman.org/wp-content/uploads/2026/07/Ionis-update-REVEAL-July2026.pdf</v>
      </c>
    </row>
    <row r="83" spans="1:3" ht="30" customHeight="1">
      <c r="A83" s="4" t="s">
        <v>140</v>
      </c>
      <c r="B83" s="3" t="s">
        <v>141</v>
      </c>
      <c r="C83" s="24" t="str">
        <f>HYPERLINK("https://www.ema.europa.eu/en/medicines/human/orphan-designations/eu-3-22-2636","https://www.ema.europa.eu/en/medicines/human/orphan-designations/eu-3-22-2636")</f>
        <v>https://www.ema.europa.eu/en/medicines/human/orphan-designations/eu-3-22-2636</v>
      </c>
    </row>
    <row r="84" spans="1:3" ht="42.75" customHeight="1">
      <c r="A84" s="4" t="s">
        <v>142</v>
      </c>
      <c r="B84" s="7" t="s">
        <v>143</v>
      </c>
      <c r="C84" s="24" t="str">
        <f>HYPERLINK("https://ir.ionis.com/news-releases/news-release-details/ionis-completes-enrollment-pivotal-cohort-phase-3-reveal-study","https://ir.ionis.com/news-releases/news-release-details/ionis-completes-enrollment-pivotal-cohort-phase-3-reveal-study")</f>
        <v>https://ir.ionis.com/news-releases/news-release-details/ionis-completes-enrollment-pivotal-cohort-phase-3-reveal-study</v>
      </c>
    </row>
    <row r="85" spans="1:3" ht="42.75" customHeight="1">
      <c r="A85" s="4" t="s">
        <v>144</v>
      </c>
      <c r="B85" s="3" t="s">
        <v>145</v>
      </c>
      <c r="C85" s="24" t="str">
        <f>HYPERLINK("https://ionis.com/sites/default/files/2026-06/Crean%20Bird%20-%20HALOS%20-%20Angelman%20Syndrome%20Program%20Update.pdf","https://ionis.com/sites/default/files/2026-06/Crean%20Bird%20-%20HALOS%20-%20Angelman%20Syndrome%20Program%20Update.pdf")</f>
        <v>https://ionis.com/sites/default/files/2026-06/Crean%20Bird%20-%20HALOS%20-%20Angelman%20Syndrome%20Program%20Update.pdf</v>
      </c>
    </row>
    <row r="86" spans="1:3" ht="42.75" customHeight="1">
      <c r="A86" s="4" t="s">
        <v>146</v>
      </c>
      <c r="B86" s="3" t="s">
        <v>147</v>
      </c>
      <c r="C86" s="24" t="str">
        <f>HYPERLINK("https://angelman.org/wp-content/uploads/2025/12/Community-Update-ION582-Ionis_Dec-2025.pdf","https://angelman.org/wp-content/uploads/2025/12/Community-Update-ION582-Ionis_Dec-2025.pdf")</f>
        <v>https://angelman.org/wp-content/uploads/2025/12/Community-Update-ION582-Ionis_Dec-2025.pdf</v>
      </c>
    </row>
    <row r="87" spans="1:3" ht="42.75" customHeight="1">
      <c r="A87" s="4" t="s">
        <v>148</v>
      </c>
      <c r="B87" s="3" t="s">
        <v>149</v>
      </c>
      <c r="C87" s="24" t="str">
        <f>HYPERLINK("https://ir.ionis.com/news-releases/news-release-details/ionis-completes-enrollment-pivotal-cohort-phase-3-reveal-study","https://ir.ionis.com/news-releases/news-release-details/ionis-completes-enrollment-pivotal-cohort-phase-3-reveal-study")</f>
        <v>https://ir.ionis.com/news-releases/news-release-details/ionis-completes-enrollment-pivotal-cohort-phase-3-reveal-study</v>
      </c>
    </row>
    <row r="88" spans="1:3">
      <c r="A88" s="12"/>
      <c r="B88" s="12"/>
      <c r="C88" s="12"/>
    </row>
    <row r="89" spans="1:3" ht="24" customHeight="1">
      <c r="A89" s="10" t="s">
        <v>150</v>
      </c>
      <c r="B89" s="10"/>
      <c r="C89" s="10"/>
    </row>
    <row r="90" spans="1:3" ht="30" customHeight="1">
      <c r="A90" s="4" t="s">
        <v>151</v>
      </c>
      <c r="B90" s="3" t="s">
        <v>152</v>
      </c>
      <c r="C90" s="3"/>
    </row>
    <row r="91" spans="1:3" ht="17.25" customHeight="1">
      <c r="A91" s="4" t="s">
        <v>153</v>
      </c>
      <c r="B91" s="3" t="s">
        <v>154</v>
      </c>
      <c r="C91" s="3"/>
    </row>
    <row r="92" spans="1:3" ht="17.25" customHeight="1">
      <c r="A92" s="4" t="s">
        <v>155</v>
      </c>
      <c r="B92" s="3" t="s">
        <v>156</v>
      </c>
      <c r="C92" s="3"/>
    </row>
    <row r="93" spans="1:3" ht="17.25" customHeight="1">
      <c r="A93" s="4" t="s">
        <v>157</v>
      </c>
      <c r="B93" s="3" t="s">
        <v>158</v>
      </c>
      <c r="C93" s="3"/>
    </row>
    <row r="94" spans="1:3" ht="17.25" customHeight="1">
      <c r="A94" s="4" t="s">
        <v>159</v>
      </c>
      <c r="B94" s="3" t="s">
        <v>160</v>
      </c>
      <c r="C94" s="3"/>
    </row>
    <row r="95" spans="1:3" ht="17.25" customHeight="1">
      <c r="A95" s="4" t="s">
        <v>161</v>
      </c>
      <c r="B95" s="3" t="s">
        <v>162</v>
      </c>
      <c r="C95" s="3"/>
    </row>
    <row r="96" spans="1:3">
      <c r="A96" s="12"/>
      <c r="B96" s="12"/>
      <c r="C96" s="12"/>
    </row>
    <row r="97" spans="1:3" ht="24" customHeight="1">
      <c r="A97" s="10" t="s">
        <v>163</v>
      </c>
      <c r="B97" s="10"/>
      <c r="C97" s="10"/>
    </row>
    <row r="98" spans="1:3" ht="30" customHeight="1">
      <c r="A98" s="4" t="s">
        <v>164</v>
      </c>
      <c r="B98" s="3" t="s">
        <v>165</v>
      </c>
      <c r="C98" s="3"/>
    </row>
    <row r="99" spans="1:3" ht="30" customHeight="1">
      <c r="A99" s="4" t="s">
        <v>166</v>
      </c>
      <c r="B99" s="3" t="s">
        <v>167</v>
      </c>
      <c r="C99" s="3"/>
    </row>
    <row r="100" spans="1:3" ht="30" customHeight="1">
      <c r="A100" s="4" t="s">
        <v>168</v>
      </c>
      <c r="B100" s="3" t="s">
        <v>169</v>
      </c>
      <c r="C100" s="3"/>
    </row>
    <row r="101" spans="1:3" ht="30" customHeight="1">
      <c r="A101" s="4" t="s">
        <v>170</v>
      </c>
      <c r="B101" s="3" t="s">
        <v>171</v>
      </c>
      <c r="C101" s="3"/>
    </row>
    <row r="102" spans="1:3" ht="17.25" customHeight="1">
      <c r="A102" s="4" t="s">
        <v>172</v>
      </c>
      <c r="B102" s="3" t="s">
        <v>173</v>
      </c>
      <c r="C102" s="3"/>
    </row>
  </sheetData>
  <mergeCells count="10">
    <mergeCell ref="A53:C53"/>
    <mergeCell ref="A65:C65"/>
    <mergeCell ref="A89:C89"/>
    <mergeCell ref="A97:C97"/>
    <mergeCell ref="A1:C1"/>
    <mergeCell ref="A3:C3"/>
    <mergeCell ref="A13:C13"/>
    <mergeCell ref="A22:C22"/>
    <mergeCell ref="A29:C29"/>
    <mergeCell ref="A36:C3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B80B-B5C5-41FF-BDC0-F732FF074066}">
  <dimension ref="A1:M97"/>
  <sheetViews>
    <sheetView workbookViewId="0">
      <pane ySplit="2" topLeftCell="A3" activePane="bottomLeft" state="frozen"/>
      <selection pane="bottomLeft"/>
    </sheetView>
  </sheetViews>
  <sheetFormatPr defaultRowHeight="15"/>
  <cols>
    <col min="1" max="1" width="13.7109375" customWidth="1"/>
    <col min="2" max="2" width="7.7109375" customWidth="1"/>
    <col min="3" max="3" width="16.7109375" customWidth="1"/>
    <col min="4" max="4" width="34.7109375" customWidth="1"/>
    <col min="5" max="5" width="38.7109375" customWidth="1"/>
    <col min="6" max="6" width="36.7109375" customWidth="1"/>
    <col min="7" max="7" width="50.7109375" customWidth="1"/>
    <col min="8" max="8" width="30.7109375" customWidth="1"/>
    <col min="9" max="9" width="50.7109375" customWidth="1"/>
    <col min="10" max="11" width="34.7109375" customWidth="1"/>
    <col min="12" max="12" width="28.7109375" customWidth="1"/>
    <col min="13" max="13" width="75.7109375" customWidth="1"/>
  </cols>
  <sheetData>
    <row r="1" spans="1:13" ht="24" customHeight="1">
      <c r="A1" s="1" t="s">
        <v>174</v>
      </c>
      <c r="B1" s="1"/>
      <c r="C1" s="1"/>
      <c r="D1" s="1"/>
      <c r="E1" s="1"/>
      <c r="F1" s="1"/>
      <c r="G1" s="1"/>
      <c r="H1" s="1"/>
      <c r="I1" s="1"/>
      <c r="J1" s="1"/>
      <c r="K1" s="1"/>
      <c r="L1" s="1"/>
      <c r="M1" s="1"/>
    </row>
    <row r="2" spans="1:13" ht="35.25" customHeight="1">
      <c r="A2" s="2" t="s">
        <v>175</v>
      </c>
      <c r="B2" s="2" t="s">
        <v>176</v>
      </c>
      <c r="C2" s="2" t="s">
        <v>177</v>
      </c>
      <c r="D2" s="2" t="s">
        <v>178</v>
      </c>
      <c r="E2" s="2" t="s">
        <v>179</v>
      </c>
      <c r="F2" s="2" t="s">
        <v>180</v>
      </c>
      <c r="G2" s="2" t="s">
        <v>181</v>
      </c>
      <c r="H2" s="2" t="s">
        <v>32</v>
      </c>
      <c r="I2" s="2" t="s">
        <v>34</v>
      </c>
      <c r="J2" s="2" t="s">
        <v>36</v>
      </c>
      <c r="K2" s="2" t="s">
        <v>38</v>
      </c>
      <c r="L2" s="2" t="s">
        <v>40</v>
      </c>
      <c r="M2" s="2" t="s">
        <v>182</v>
      </c>
    </row>
    <row r="3" spans="1:13" ht="147" customHeight="1">
      <c r="A3" s="3" t="s">
        <v>183</v>
      </c>
      <c r="B3" s="6">
        <v>1</v>
      </c>
      <c r="C3" s="3" t="s">
        <v>184</v>
      </c>
      <c r="D3" s="3" t="s">
        <v>185</v>
      </c>
      <c r="E3" s="3" t="s">
        <v>186</v>
      </c>
      <c r="F3" s="3" t="s">
        <v>187</v>
      </c>
      <c r="G3" s="3" t="s">
        <v>188</v>
      </c>
      <c r="H3" s="3" t="s">
        <v>189</v>
      </c>
      <c r="I3" s="7" t="s">
        <v>190</v>
      </c>
      <c r="J3" s="3" t="s">
        <v>191</v>
      </c>
      <c r="K3" s="3" t="s">
        <v>192</v>
      </c>
      <c r="L3" s="3" t="s">
        <v>193</v>
      </c>
      <c r="M3" s="3" t="s">
        <v>194</v>
      </c>
    </row>
    <row r="4" spans="1:13" ht="212.25" customHeight="1">
      <c r="A4" s="3" t="s">
        <v>183</v>
      </c>
      <c r="B4" s="6">
        <v>1</v>
      </c>
      <c r="C4" s="3" t="s">
        <v>184</v>
      </c>
      <c r="D4" s="3" t="s">
        <v>195</v>
      </c>
      <c r="E4" s="3" t="s">
        <v>196</v>
      </c>
      <c r="F4" s="3" t="s">
        <v>197</v>
      </c>
      <c r="G4" s="3" t="s">
        <v>198</v>
      </c>
      <c r="H4" s="3" t="s">
        <v>199</v>
      </c>
      <c r="I4" s="7" t="s">
        <v>200</v>
      </c>
      <c r="J4" s="7" t="s">
        <v>201</v>
      </c>
      <c r="K4" s="3" t="s">
        <v>202</v>
      </c>
      <c r="L4" s="3" t="s">
        <v>203</v>
      </c>
      <c r="M4" s="3" t="s">
        <v>204</v>
      </c>
    </row>
    <row r="5" spans="1:13" ht="147" customHeight="1">
      <c r="A5" s="3" t="s">
        <v>183</v>
      </c>
      <c r="B5" s="6">
        <v>1</v>
      </c>
      <c r="C5" s="3" t="s">
        <v>205</v>
      </c>
      <c r="D5" s="3" t="s">
        <v>206</v>
      </c>
      <c r="E5" s="3" t="s">
        <v>207</v>
      </c>
      <c r="F5" s="3" t="s">
        <v>208</v>
      </c>
      <c r="G5" s="3" t="s">
        <v>209</v>
      </c>
      <c r="H5" s="3" t="s">
        <v>210</v>
      </c>
      <c r="I5" s="7" t="s">
        <v>211</v>
      </c>
      <c r="J5" s="7" t="s">
        <v>212</v>
      </c>
      <c r="K5" s="7" t="s">
        <v>213</v>
      </c>
      <c r="L5" s="3" t="s">
        <v>214</v>
      </c>
      <c r="M5" s="3" t="s">
        <v>215</v>
      </c>
    </row>
    <row r="6" spans="1:13" ht="81.75" customHeight="1">
      <c r="A6" s="3" t="s">
        <v>183</v>
      </c>
      <c r="B6" s="5">
        <v>2</v>
      </c>
      <c r="C6" s="3" t="s">
        <v>184</v>
      </c>
      <c r="D6" s="3" t="s">
        <v>216</v>
      </c>
      <c r="E6" s="3" t="s">
        <v>217</v>
      </c>
      <c r="F6" s="3" t="s">
        <v>218</v>
      </c>
      <c r="G6" s="3" t="s">
        <v>219</v>
      </c>
      <c r="H6" s="3" t="s">
        <v>220</v>
      </c>
      <c r="I6" s="3" t="s">
        <v>221</v>
      </c>
      <c r="J6" s="3" t="s">
        <v>222</v>
      </c>
      <c r="K6" s="3" t="s">
        <v>223</v>
      </c>
      <c r="L6" s="3" t="s">
        <v>224</v>
      </c>
      <c r="M6" s="3" t="s">
        <v>225</v>
      </c>
    </row>
    <row r="7" spans="1:13" ht="81.75" customHeight="1">
      <c r="A7" s="3" t="s">
        <v>183</v>
      </c>
      <c r="B7" s="5">
        <v>2</v>
      </c>
      <c r="C7" s="3" t="s">
        <v>184</v>
      </c>
      <c r="D7" s="3" t="s">
        <v>226</v>
      </c>
      <c r="E7" s="3" t="s">
        <v>227</v>
      </c>
      <c r="F7" s="3" t="s">
        <v>228</v>
      </c>
      <c r="G7" s="3" t="s">
        <v>229</v>
      </c>
      <c r="H7" s="3" t="s">
        <v>230</v>
      </c>
      <c r="I7" s="3" t="s">
        <v>231</v>
      </c>
      <c r="J7" s="3" t="s">
        <v>222</v>
      </c>
      <c r="K7" s="3" t="s">
        <v>232</v>
      </c>
      <c r="L7" s="3" t="s">
        <v>233</v>
      </c>
      <c r="M7" s="3" t="s">
        <v>234</v>
      </c>
    </row>
    <row r="8" spans="1:13" ht="42.75" customHeight="1">
      <c r="A8" s="3" t="s">
        <v>183</v>
      </c>
      <c r="B8" s="5">
        <v>2</v>
      </c>
      <c r="C8" s="3" t="s">
        <v>235</v>
      </c>
      <c r="D8" s="3" t="s">
        <v>236</v>
      </c>
      <c r="E8" s="3" t="s">
        <v>237</v>
      </c>
      <c r="F8" s="3" t="s">
        <v>238</v>
      </c>
      <c r="G8" s="3" t="s">
        <v>239</v>
      </c>
      <c r="H8" s="3" t="s">
        <v>240</v>
      </c>
      <c r="I8" s="3" t="s">
        <v>231</v>
      </c>
      <c r="J8" s="3" t="s">
        <v>222</v>
      </c>
      <c r="K8" s="3" t="s">
        <v>241</v>
      </c>
      <c r="L8" s="3" t="s">
        <v>242</v>
      </c>
      <c r="M8" s="3" t="s">
        <v>243</v>
      </c>
    </row>
    <row r="9" spans="1:13" ht="42.75" customHeight="1">
      <c r="A9" s="3" t="s">
        <v>183</v>
      </c>
      <c r="B9" s="5">
        <v>2</v>
      </c>
      <c r="C9" s="3" t="s">
        <v>244</v>
      </c>
      <c r="D9" s="3" t="s">
        <v>245</v>
      </c>
      <c r="E9" s="3" t="s">
        <v>246</v>
      </c>
      <c r="F9" s="3" t="s">
        <v>247</v>
      </c>
      <c r="G9" s="3" t="s">
        <v>248</v>
      </c>
      <c r="H9" s="3" t="s">
        <v>240</v>
      </c>
      <c r="I9" s="3" t="s">
        <v>249</v>
      </c>
      <c r="J9" s="3" t="s">
        <v>222</v>
      </c>
      <c r="K9" s="3" t="s">
        <v>241</v>
      </c>
      <c r="L9" s="3" t="s">
        <v>250</v>
      </c>
      <c r="M9" s="3" t="s">
        <v>251</v>
      </c>
    </row>
    <row r="10" spans="1:13" ht="42.75" customHeight="1">
      <c r="A10" s="3" t="s">
        <v>183</v>
      </c>
      <c r="B10" s="5">
        <v>3</v>
      </c>
      <c r="C10" s="3" t="s">
        <v>252</v>
      </c>
      <c r="D10" s="3" t="s">
        <v>253</v>
      </c>
      <c r="E10" s="3" t="s">
        <v>254</v>
      </c>
      <c r="F10" s="3" t="s">
        <v>255</v>
      </c>
      <c r="G10" s="3" t="s">
        <v>256</v>
      </c>
      <c r="H10" s="3" t="s">
        <v>230</v>
      </c>
      <c r="I10" s="3" t="s">
        <v>240</v>
      </c>
      <c r="J10" s="3" t="s">
        <v>240</v>
      </c>
      <c r="K10" s="3" t="s">
        <v>257</v>
      </c>
      <c r="L10" s="3" t="s">
        <v>258</v>
      </c>
      <c r="M10" s="3" t="s">
        <v>259</v>
      </c>
    </row>
    <row r="11" spans="1:13" ht="56.25" customHeight="1">
      <c r="A11" s="3" t="s">
        <v>183</v>
      </c>
      <c r="B11" s="5">
        <v>3</v>
      </c>
      <c r="C11" s="3" t="s">
        <v>260</v>
      </c>
      <c r="D11" s="3" t="s">
        <v>261</v>
      </c>
      <c r="E11" s="3" t="s">
        <v>262</v>
      </c>
      <c r="F11" s="3" t="s">
        <v>263</v>
      </c>
      <c r="G11" s="3" t="s">
        <v>264</v>
      </c>
      <c r="H11" s="3" t="s">
        <v>240</v>
      </c>
      <c r="I11" s="3" t="s">
        <v>240</v>
      </c>
      <c r="J11" s="3" t="s">
        <v>240</v>
      </c>
      <c r="K11" s="3" t="s">
        <v>265</v>
      </c>
      <c r="L11" s="3" t="s">
        <v>266</v>
      </c>
      <c r="M11" s="3" t="s">
        <v>267</v>
      </c>
    </row>
    <row r="12" spans="1:13" ht="42.75" customHeight="1">
      <c r="A12" s="3" t="s">
        <v>183</v>
      </c>
      <c r="B12" s="5">
        <v>3</v>
      </c>
      <c r="C12" s="3" t="s">
        <v>184</v>
      </c>
      <c r="D12" s="3" t="s">
        <v>268</v>
      </c>
      <c r="E12" s="3" t="s">
        <v>269</v>
      </c>
      <c r="F12" s="3" t="s">
        <v>270</v>
      </c>
      <c r="G12" s="3" t="s">
        <v>271</v>
      </c>
      <c r="H12" s="3" t="s">
        <v>240</v>
      </c>
      <c r="I12" s="3" t="s">
        <v>240</v>
      </c>
      <c r="J12" s="3" t="s">
        <v>240</v>
      </c>
      <c r="K12" s="3" t="s">
        <v>240</v>
      </c>
      <c r="L12" s="3" t="s">
        <v>272</v>
      </c>
      <c r="M12" s="3" t="s">
        <v>273</v>
      </c>
    </row>
    <row r="13" spans="1:13" ht="42.75" customHeight="1">
      <c r="A13" s="3" t="s">
        <v>183</v>
      </c>
      <c r="B13" s="5">
        <v>3</v>
      </c>
      <c r="C13" s="3" t="s">
        <v>274</v>
      </c>
      <c r="D13" s="3" t="s">
        <v>275</v>
      </c>
      <c r="E13" s="3" t="s">
        <v>254</v>
      </c>
      <c r="F13" s="3" t="s">
        <v>276</v>
      </c>
      <c r="G13" s="3" t="s">
        <v>277</v>
      </c>
      <c r="H13" s="3" t="s">
        <v>240</v>
      </c>
      <c r="I13" s="3" t="s">
        <v>278</v>
      </c>
      <c r="J13" s="3" t="s">
        <v>240</v>
      </c>
      <c r="K13" s="3" t="s">
        <v>240</v>
      </c>
      <c r="L13" s="3" t="s">
        <v>266</v>
      </c>
      <c r="M13" s="3" t="s">
        <v>279</v>
      </c>
    </row>
    <row r="14" spans="1:13" ht="30" customHeight="1">
      <c r="A14" s="3" t="s">
        <v>183</v>
      </c>
      <c r="B14" s="5">
        <v>3</v>
      </c>
      <c r="C14" s="3" t="s">
        <v>280</v>
      </c>
      <c r="D14" s="3" t="s">
        <v>281</v>
      </c>
      <c r="E14" s="3" t="s">
        <v>282</v>
      </c>
      <c r="F14" s="3" t="s">
        <v>283</v>
      </c>
      <c r="G14" s="3" t="s">
        <v>284</v>
      </c>
      <c r="H14" s="3" t="s">
        <v>240</v>
      </c>
      <c r="I14" s="3" t="s">
        <v>285</v>
      </c>
      <c r="J14" s="3" t="s">
        <v>240</v>
      </c>
      <c r="K14" s="3" t="s">
        <v>257</v>
      </c>
      <c r="L14" s="3" t="s">
        <v>266</v>
      </c>
      <c r="M14" s="3" t="s">
        <v>286</v>
      </c>
    </row>
    <row r="15" spans="1:13" ht="30" customHeight="1">
      <c r="A15" s="3" t="s">
        <v>183</v>
      </c>
      <c r="B15" s="5">
        <v>3</v>
      </c>
      <c r="C15" s="3" t="s">
        <v>287</v>
      </c>
      <c r="D15" s="3" t="s">
        <v>288</v>
      </c>
      <c r="E15" s="3" t="s">
        <v>289</v>
      </c>
      <c r="F15" s="3" t="s">
        <v>283</v>
      </c>
      <c r="G15" s="3" t="s">
        <v>290</v>
      </c>
      <c r="H15" s="3" t="s">
        <v>240</v>
      </c>
      <c r="I15" s="3" t="s">
        <v>285</v>
      </c>
      <c r="J15" s="3" t="s">
        <v>240</v>
      </c>
      <c r="K15" s="3" t="s">
        <v>257</v>
      </c>
      <c r="L15" s="3" t="s">
        <v>266</v>
      </c>
      <c r="M15" s="3" t="s">
        <v>286</v>
      </c>
    </row>
    <row r="16" spans="1:13" ht="30" customHeight="1">
      <c r="A16" s="3" t="s">
        <v>183</v>
      </c>
      <c r="B16" s="5">
        <v>3</v>
      </c>
      <c r="C16" s="3" t="s">
        <v>291</v>
      </c>
      <c r="D16" s="3" t="s">
        <v>292</v>
      </c>
      <c r="E16" s="3" t="s">
        <v>293</v>
      </c>
      <c r="F16" s="3" t="s">
        <v>283</v>
      </c>
      <c r="G16" s="3" t="s">
        <v>294</v>
      </c>
      <c r="H16" s="3" t="s">
        <v>240</v>
      </c>
      <c r="I16" s="3" t="s">
        <v>240</v>
      </c>
      <c r="J16" s="3" t="s">
        <v>240</v>
      </c>
      <c r="K16" s="3" t="s">
        <v>295</v>
      </c>
      <c r="L16" s="3" t="s">
        <v>266</v>
      </c>
      <c r="M16" s="3" t="s">
        <v>296</v>
      </c>
    </row>
    <row r="17" spans="1:13" ht="30" customHeight="1">
      <c r="A17" s="3" t="s">
        <v>183</v>
      </c>
      <c r="B17" s="5">
        <v>3</v>
      </c>
      <c r="C17" s="3" t="s">
        <v>297</v>
      </c>
      <c r="D17" s="3" t="s">
        <v>298</v>
      </c>
      <c r="E17" s="3" t="s">
        <v>293</v>
      </c>
      <c r="F17" s="3" t="s">
        <v>283</v>
      </c>
      <c r="G17" s="3" t="s">
        <v>294</v>
      </c>
      <c r="H17" s="3" t="s">
        <v>240</v>
      </c>
      <c r="I17" s="3" t="s">
        <v>240</v>
      </c>
      <c r="J17" s="3" t="s">
        <v>240</v>
      </c>
      <c r="K17" s="3" t="s">
        <v>295</v>
      </c>
      <c r="L17" s="3" t="s">
        <v>266</v>
      </c>
      <c r="M17" s="3" t="s">
        <v>296</v>
      </c>
    </row>
    <row r="18" spans="1:13" ht="30" customHeight="1">
      <c r="A18" s="3" t="s">
        <v>183</v>
      </c>
      <c r="B18" s="5">
        <v>3</v>
      </c>
      <c r="C18" s="3" t="s">
        <v>299</v>
      </c>
      <c r="D18" s="3" t="s">
        <v>300</v>
      </c>
      <c r="E18" s="3" t="s">
        <v>293</v>
      </c>
      <c r="F18" s="3" t="s">
        <v>283</v>
      </c>
      <c r="G18" s="3" t="s">
        <v>294</v>
      </c>
      <c r="H18" s="3" t="s">
        <v>240</v>
      </c>
      <c r="I18" s="3" t="s">
        <v>240</v>
      </c>
      <c r="J18" s="3" t="s">
        <v>240</v>
      </c>
      <c r="K18" s="3" t="s">
        <v>295</v>
      </c>
      <c r="L18" s="3" t="s">
        <v>266</v>
      </c>
      <c r="M18" s="3" t="s">
        <v>296</v>
      </c>
    </row>
    <row r="19" spans="1:13" ht="30" customHeight="1">
      <c r="A19" s="3" t="s">
        <v>183</v>
      </c>
      <c r="B19" s="5">
        <v>3</v>
      </c>
      <c r="C19" s="3" t="s">
        <v>301</v>
      </c>
      <c r="D19" s="3" t="s">
        <v>302</v>
      </c>
      <c r="E19" s="3" t="s">
        <v>293</v>
      </c>
      <c r="F19" s="3" t="s">
        <v>283</v>
      </c>
      <c r="G19" s="3" t="s">
        <v>294</v>
      </c>
      <c r="H19" s="3" t="s">
        <v>240</v>
      </c>
      <c r="I19" s="3" t="s">
        <v>240</v>
      </c>
      <c r="J19" s="3" t="s">
        <v>240</v>
      </c>
      <c r="K19" s="3" t="s">
        <v>295</v>
      </c>
      <c r="L19" s="3" t="s">
        <v>266</v>
      </c>
      <c r="M19" s="3" t="s">
        <v>296</v>
      </c>
    </row>
    <row r="20" spans="1:13" ht="251.25" customHeight="1">
      <c r="A20" s="3" t="s">
        <v>303</v>
      </c>
      <c r="B20" s="6">
        <v>1</v>
      </c>
      <c r="C20" s="3" t="s">
        <v>304</v>
      </c>
      <c r="D20" s="3" t="s">
        <v>305</v>
      </c>
      <c r="E20" s="3" t="s">
        <v>306</v>
      </c>
      <c r="F20" s="7" t="s">
        <v>307</v>
      </c>
      <c r="G20" s="3" t="s">
        <v>308</v>
      </c>
      <c r="H20" s="7" t="s">
        <v>309</v>
      </c>
      <c r="I20" s="7" t="s">
        <v>310</v>
      </c>
      <c r="J20" s="7" t="s">
        <v>311</v>
      </c>
      <c r="K20" s="7" t="s">
        <v>312</v>
      </c>
      <c r="L20" s="3" t="s">
        <v>313</v>
      </c>
      <c r="M20" s="3" t="s">
        <v>314</v>
      </c>
    </row>
    <row r="21" spans="1:13" ht="186" customHeight="1">
      <c r="A21" s="3" t="s">
        <v>303</v>
      </c>
      <c r="B21" s="6">
        <v>1</v>
      </c>
      <c r="C21" s="3" t="s">
        <v>315</v>
      </c>
      <c r="D21" s="3" t="s">
        <v>316</v>
      </c>
      <c r="E21" s="3" t="s">
        <v>317</v>
      </c>
      <c r="F21" s="3" t="s">
        <v>318</v>
      </c>
      <c r="G21" s="3" t="s">
        <v>319</v>
      </c>
      <c r="H21" s="7" t="s">
        <v>320</v>
      </c>
      <c r="I21" s="7" t="s">
        <v>321</v>
      </c>
      <c r="J21" s="7" t="s">
        <v>322</v>
      </c>
      <c r="K21" s="7" t="s">
        <v>323</v>
      </c>
      <c r="L21" s="3" t="s">
        <v>324</v>
      </c>
      <c r="M21" s="3" t="s">
        <v>325</v>
      </c>
    </row>
    <row r="22" spans="1:13" ht="120.75" customHeight="1">
      <c r="A22" s="3" t="s">
        <v>303</v>
      </c>
      <c r="B22" s="6">
        <v>1</v>
      </c>
      <c r="C22" s="3" t="s">
        <v>326</v>
      </c>
      <c r="D22" s="3" t="s">
        <v>327</v>
      </c>
      <c r="E22" s="3" t="s">
        <v>328</v>
      </c>
      <c r="F22" s="3" t="s">
        <v>329</v>
      </c>
      <c r="G22" s="3" t="s">
        <v>330</v>
      </c>
      <c r="H22" s="3" t="s">
        <v>331</v>
      </c>
      <c r="I22" s="3" t="s">
        <v>332</v>
      </c>
      <c r="J22" s="7" t="s">
        <v>333</v>
      </c>
      <c r="K22" s="3" t="s">
        <v>334</v>
      </c>
      <c r="L22" s="3" t="s">
        <v>335</v>
      </c>
      <c r="M22" s="3" t="s">
        <v>336</v>
      </c>
    </row>
    <row r="23" spans="1:13" ht="95.25" customHeight="1">
      <c r="A23" s="3" t="s">
        <v>303</v>
      </c>
      <c r="B23" s="5">
        <v>2</v>
      </c>
      <c r="C23" s="3" t="s">
        <v>337</v>
      </c>
      <c r="D23" s="3" t="s">
        <v>338</v>
      </c>
      <c r="E23" s="3" t="s">
        <v>339</v>
      </c>
      <c r="F23" s="7" t="s">
        <v>340</v>
      </c>
      <c r="G23" s="3" t="s">
        <v>341</v>
      </c>
      <c r="H23" s="3" t="s">
        <v>240</v>
      </c>
      <c r="I23" s="7" t="s">
        <v>342</v>
      </c>
      <c r="J23" s="7" t="s">
        <v>343</v>
      </c>
      <c r="K23" s="3" t="s">
        <v>344</v>
      </c>
      <c r="L23" s="3" t="s">
        <v>345</v>
      </c>
      <c r="M23" s="3" t="s">
        <v>346</v>
      </c>
    </row>
    <row r="24" spans="1:13" ht="120.75" customHeight="1">
      <c r="A24" s="3" t="s">
        <v>303</v>
      </c>
      <c r="B24" s="5">
        <v>2</v>
      </c>
      <c r="C24" s="3" t="s">
        <v>347</v>
      </c>
      <c r="D24" s="3" t="s">
        <v>348</v>
      </c>
      <c r="E24" s="3" t="s">
        <v>349</v>
      </c>
      <c r="F24" s="3" t="s">
        <v>350</v>
      </c>
      <c r="G24" s="3" t="s">
        <v>351</v>
      </c>
      <c r="H24" s="3" t="s">
        <v>352</v>
      </c>
      <c r="I24" s="3" t="s">
        <v>353</v>
      </c>
      <c r="J24" s="7" t="s">
        <v>354</v>
      </c>
      <c r="K24" s="3" t="s">
        <v>355</v>
      </c>
      <c r="L24" s="3" t="s">
        <v>356</v>
      </c>
      <c r="M24" s="3" t="s">
        <v>357</v>
      </c>
    </row>
    <row r="25" spans="1:13" ht="69" customHeight="1">
      <c r="A25" s="3" t="s">
        <v>303</v>
      </c>
      <c r="B25" s="5">
        <v>2</v>
      </c>
      <c r="C25" s="3" t="s">
        <v>358</v>
      </c>
      <c r="D25" s="3" t="s">
        <v>359</v>
      </c>
      <c r="E25" s="3" t="s">
        <v>360</v>
      </c>
      <c r="F25" s="3" t="s">
        <v>283</v>
      </c>
      <c r="G25" s="3" t="s">
        <v>361</v>
      </c>
      <c r="H25" s="3" t="s">
        <v>240</v>
      </c>
      <c r="I25" s="3" t="s">
        <v>362</v>
      </c>
      <c r="J25" s="7" t="s">
        <v>240</v>
      </c>
      <c r="K25" s="3" t="s">
        <v>202</v>
      </c>
      <c r="L25" s="3" t="s">
        <v>363</v>
      </c>
      <c r="M25" s="3" t="s">
        <v>364</v>
      </c>
    </row>
    <row r="26" spans="1:13" ht="56.25" customHeight="1">
      <c r="A26" s="3" t="s">
        <v>303</v>
      </c>
      <c r="B26" s="5">
        <v>2</v>
      </c>
      <c r="C26" s="3" t="s">
        <v>365</v>
      </c>
      <c r="D26" s="3" t="s">
        <v>366</v>
      </c>
      <c r="E26" s="3" t="s">
        <v>367</v>
      </c>
      <c r="F26" s="3" t="s">
        <v>283</v>
      </c>
      <c r="G26" s="3" t="s">
        <v>368</v>
      </c>
      <c r="H26" s="3" t="s">
        <v>240</v>
      </c>
      <c r="I26" s="3" t="s">
        <v>362</v>
      </c>
      <c r="J26" s="7" t="s">
        <v>240</v>
      </c>
      <c r="K26" s="3" t="s">
        <v>202</v>
      </c>
      <c r="L26" s="3" t="s">
        <v>369</v>
      </c>
      <c r="M26" s="3" t="s">
        <v>370</v>
      </c>
    </row>
    <row r="27" spans="1:13" ht="69" customHeight="1">
      <c r="A27" s="3" t="s">
        <v>303</v>
      </c>
      <c r="B27" s="5">
        <v>3</v>
      </c>
      <c r="C27" s="3" t="s">
        <v>371</v>
      </c>
      <c r="D27" s="3" t="s">
        <v>372</v>
      </c>
      <c r="E27" s="3" t="s">
        <v>373</v>
      </c>
      <c r="F27" s="3" t="s">
        <v>374</v>
      </c>
      <c r="G27" s="3" t="s">
        <v>375</v>
      </c>
      <c r="H27" s="3" t="s">
        <v>240</v>
      </c>
      <c r="I27" s="3" t="s">
        <v>362</v>
      </c>
      <c r="J27" s="7" t="s">
        <v>240</v>
      </c>
      <c r="K27" s="3" t="s">
        <v>241</v>
      </c>
      <c r="L27" s="3" t="s">
        <v>376</v>
      </c>
      <c r="M27" s="3" t="s">
        <v>377</v>
      </c>
    </row>
    <row r="28" spans="1:13" ht="56.25" customHeight="1">
      <c r="A28" s="3" t="s">
        <v>303</v>
      </c>
      <c r="B28" s="5">
        <v>3</v>
      </c>
      <c r="C28" s="3" t="s">
        <v>378</v>
      </c>
      <c r="D28" s="3" t="s">
        <v>379</v>
      </c>
      <c r="E28" s="3" t="s">
        <v>380</v>
      </c>
      <c r="F28" s="3" t="s">
        <v>381</v>
      </c>
      <c r="G28" s="3" t="s">
        <v>382</v>
      </c>
      <c r="H28" s="3" t="s">
        <v>240</v>
      </c>
      <c r="I28" s="3" t="s">
        <v>362</v>
      </c>
      <c r="J28" s="7" t="s">
        <v>240</v>
      </c>
      <c r="K28" s="3" t="s">
        <v>241</v>
      </c>
      <c r="L28" s="3" t="s">
        <v>383</v>
      </c>
      <c r="M28" s="3" t="s">
        <v>384</v>
      </c>
    </row>
    <row r="29" spans="1:13" ht="30" customHeight="1">
      <c r="A29" s="3" t="s">
        <v>303</v>
      </c>
      <c r="B29" s="5">
        <v>3</v>
      </c>
      <c r="C29" s="3" t="s">
        <v>385</v>
      </c>
      <c r="D29" s="3" t="s">
        <v>386</v>
      </c>
      <c r="E29" s="3" t="s">
        <v>387</v>
      </c>
      <c r="F29" s="3" t="s">
        <v>283</v>
      </c>
      <c r="G29" s="3" t="s">
        <v>388</v>
      </c>
      <c r="H29" s="3" t="s">
        <v>240</v>
      </c>
      <c r="I29" s="3" t="s">
        <v>362</v>
      </c>
      <c r="J29" s="7" t="s">
        <v>240</v>
      </c>
      <c r="K29" s="3" t="s">
        <v>241</v>
      </c>
      <c r="L29" s="3" t="s">
        <v>389</v>
      </c>
      <c r="M29" s="3" t="s">
        <v>390</v>
      </c>
    </row>
    <row r="30" spans="1:13" ht="30" customHeight="1">
      <c r="A30" s="3" t="s">
        <v>303</v>
      </c>
      <c r="B30" s="5">
        <v>3</v>
      </c>
      <c r="C30" s="3" t="s">
        <v>391</v>
      </c>
      <c r="D30" s="3" t="s">
        <v>392</v>
      </c>
      <c r="E30" s="3" t="s">
        <v>393</v>
      </c>
      <c r="F30" s="3" t="s">
        <v>283</v>
      </c>
      <c r="G30" s="3" t="s">
        <v>388</v>
      </c>
      <c r="H30" s="3" t="s">
        <v>240</v>
      </c>
      <c r="I30" s="3" t="s">
        <v>362</v>
      </c>
      <c r="J30" s="7" t="s">
        <v>240</v>
      </c>
      <c r="K30" s="3" t="s">
        <v>241</v>
      </c>
      <c r="L30" s="3" t="s">
        <v>394</v>
      </c>
      <c r="M30" s="3" t="s">
        <v>390</v>
      </c>
    </row>
    <row r="31" spans="1:13" ht="42.75" customHeight="1">
      <c r="A31" s="3" t="s">
        <v>303</v>
      </c>
      <c r="B31" s="5">
        <v>3</v>
      </c>
      <c r="C31" s="3" t="s">
        <v>395</v>
      </c>
      <c r="D31" s="3" t="s">
        <v>396</v>
      </c>
      <c r="E31" s="3" t="s">
        <v>397</v>
      </c>
      <c r="F31" s="3" t="s">
        <v>283</v>
      </c>
      <c r="G31" s="3" t="s">
        <v>388</v>
      </c>
      <c r="H31" s="3" t="s">
        <v>240</v>
      </c>
      <c r="I31" s="3" t="s">
        <v>362</v>
      </c>
      <c r="J31" s="7" t="s">
        <v>240</v>
      </c>
      <c r="K31" s="3" t="s">
        <v>241</v>
      </c>
      <c r="L31" s="3" t="s">
        <v>398</v>
      </c>
      <c r="M31" s="3" t="s">
        <v>390</v>
      </c>
    </row>
    <row r="32" spans="1:13" ht="42.75" customHeight="1">
      <c r="A32" s="3" t="s">
        <v>303</v>
      </c>
      <c r="B32" s="5">
        <v>3</v>
      </c>
      <c r="C32" s="3" t="s">
        <v>399</v>
      </c>
      <c r="D32" s="3" t="s">
        <v>400</v>
      </c>
      <c r="E32" s="3" t="s">
        <v>401</v>
      </c>
      <c r="F32" s="3" t="s">
        <v>402</v>
      </c>
      <c r="G32" s="3" t="s">
        <v>403</v>
      </c>
      <c r="H32" s="3" t="s">
        <v>240</v>
      </c>
      <c r="I32" s="3" t="s">
        <v>362</v>
      </c>
      <c r="J32" s="7" t="s">
        <v>240</v>
      </c>
      <c r="K32" s="3" t="s">
        <v>404</v>
      </c>
      <c r="L32" s="3" t="s">
        <v>405</v>
      </c>
      <c r="M32" s="3" t="s">
        <v>406</v>
      </c>
    </row>
    <row r="33" spans="1:13" ht="42.75" customHeight="1">
      <c r="A33" s="3" t="s">
        <v>303</v>
      </c>
      <c r="B33" s="5">
        <v>3</v>
      </c>
      <c r="C33" s="3" t="s">
        <v>407</v>
      </c>
      <c r="D33" s="3" t="s">
        <v>408</v>
      </c>
      <c r="E33" s="3" t="s">
        <v>409</v>
      </c>
      <c r="F33" s="3" t="s">
        <v>283</v>
      </c>
      <c r="G33" s="3" t="s">
        <v>410</v>
      </c>
      <c r="H33" s="3" t="s">
        <v>240</v>
      </c>
      <c r="I33" s="3" t="s">
        <v>362</v>
      </c>
      <c r="J33" s="7" t="s">
        <v>240</v>
      </c>
      <c r="K33" s="3" t="s">
        <v>404</v>
      </c>
      <c r="L33" s="3" t="s">
        <v>411</v>
      </c>
      <c r="M33" s="3" t="s">
        <v>412</v>
      </c>
    </row>
    <row r="34" spans="1:13" ht="42.75" customHeight="1">
      <c r="A34" s="3" t="s">
        <v>303</v>
      </c>
      <c r="B34" s="5">
        <v>3</v>
      </c>
      <c r="C34" s="3" t="s">
        <v>413</v>
      </c>
      <c r="D34" s="3" t="s">
        <v>414</v>
      </c>
      <c r="E34" s="3" t="s">
        <v>415</v>
      </c>
      <c r="F34" s="3" t="s">
        <v>283</v>
      </c>
      <c r="G34" s="3" t="s">
        <v>416</v>
      </c>
      <c r="H34" s="3" t="s">
        <v>240</v>
      </c>
      <c r="I34" s="3" t="s">
        <v>362</v>
      </c>
      <c r="J34" s="7" t="s">
        <v>240</v>
      </c>
      <c r="K34" s="3" t="s">
        <v>417</v>
      </c>
      <c r="L34" s="3" t="s">
        <v>418</v>
      </c>
      <c r="M34" s="3" t="s">
        <v>419</v>
      </c>
    </row>
    <row r="35" spans="1:13" ht="30" customHeight="1">
      <c r="A35" s="3" t="s">
        <v>303</v>
      </c>
      <c r="B35" s="5">
        <v>3</v>
      </c>
      <c r="C35" s="3" t="s">
        <v>420</v>
      </c>
      <c r="D35" s="3" t="s">
        <v>421</v>
      </c>
      <c r="E35" s="3" t="s">
        <v>422</v>
      </c>
      <c r="F35" s="3" t="s">
        <v>283</v>
      </c>
      <c r="G35" s="3" t="s">
        <v>423</v>
      </c>
      <c r="H35" s="3" t="s">
        <v>240</v>
      </c>
      <c r="I35" s="3" t="s">
        <v>362</v>
      </c>
      <c r="J35" s="7" t="s">
        <v>240</v>
      </c>
      <c r="K35" s="3" t="s">
        <v>424</v>
      </c>
      <c r="L35" s="3" t="s">
        <v>425</v>
      </c>
      <c r="M35" s="3" t="s">
        <v>426</v>
      </c>
    </row>
    <row r="36" spans="1:13" ht="56.25" customHeight="1">
      <c r="A36" s="3" t="s">
        <v>303</v>
      </c>
      <c r="B36" s="5">
        <v>3</v>
      </c>
      <c r="C36" s="3" t="s">
        <v>427</v>
      </c>
      <c r="D36" s="3" t="s">
        <v>428</v>
      </c>
      <c r="E36" s="3" t="s">
        <v>429</v>
      </c>
      <c r="F36" s="3" t="s">
        <v>283</v>
      </c>
      <c r="G36" s="3" t="s">
        <v>430</v>
      </c>
      <c r="H36" s="3" t="s">
        <v>240</v>
      </c>
      <c r="I36" s="3" t="s">
        <v>362</v>
      </c>
      <c r="J36" s="7" t="s">
        <v>240</v>
      </c>
      <c r="K36" s="3" t="s">
        <v>240</v>
      </c>
      <c r="L36" s="3" t="s">
        <v>431</v>
      </c>
      <c r="M36" s="3" t="s">
        <v>432</v>
      </c>
    </row>
    <row r="37" spans="1:13" ht="159.75" customHeight="1">
      <c r="A37" s="3" t="s">
        <v>433</v>
      </c>
      <c r="B37" s="5">
        <v>1</v>
      </c>
      <c r="C37" s="3" t="s">
        <v>434</v>
      </c>
      <c r="D37" s="3" t="s">
        <v>435</v>
      </c>
      <c r="E37" s="3" t="s">
        <v>436</v>
      </c>
      <c r="F37" s="3" t="s">
        <v>437</v>
      </c>
      <c r="G37" s="3" t="s">
        <v>438</v>
      </c>
      <c r="H37" s="3" t="s">
        <v>439</v>
      </c>
      <c r="I37" s="3" t="s">
        <v>440</v>
      </c>
      <c r="J37" s="3" t="s">
        <v>441</v>
      </c>
      <c r="K37" s="7" t="s">
        <v>202</v>
      </c>
      <c r="L37" s="3" t="s">
        <v>442</v>
      </c>
      <c r="M37" s="7" t="s">
        <v>443</v>
      </c>
    </row>
    <row r="38" spans="1:13" ht="134.25" customHeight="1">
      <c r="A38" s="3" t="s">
        <v>433</v>
      </c>
      <c r="B38" s="5">
        <v>2</v>
      </c>
      <c r="C38" s="3" t="s">
        <v>444</v>
      </c>
      <c r="D38" s="7" t="s">
        <v>445</v>
      </c>
      <c r="E38" s="3" t="s">
        <v>446</v>
      </c>
      <c r="F38" s="7" t="s">
        <v>447</v>
      </c>
      <c r="G38" s="3" t="s">
        <v>448</v>
      </c>
      <c r="H38" s="3" t="s">
        <v>439</v>
      </c>
      <c r="I38" s="3" t="s">
        <v>449</v>
      </c>
      <c r="J38" s="7" t="s">
        <v>450</v>
      </c>
      <c r="K38" s="7" t="s">
        <v>451</v>
      </c>
      <c r="L38" s="3" t="s">
        <v>452</v>
      </c>
      <c r="M38" s="3" t="s">
        <v>453</v>
      </c>
    </row>
    <row r="39" spans="1:13" ht="95.25" customHeight="1">
      <c r="A39" s="3" t="s">
        <v>433</v>
      </c>
      <c r="B39" s="5">
        <v>2</v>
      </c>
      <c r="C39" s="3" t="s">
        <v>454</v>
      </c>
      <c r="D39" s="3" t="s">
        <v>455</v>
      </c>
      <c r="E39" s="3" t="s">
        <v>456</v>
      </c>
      <c r="F39" s="3" t="s">
        <v>457</v>
      </c>
      <c r="G39" s="3" t="s">
        <v>458</v>
      </c>
      <c r="H39" s="3" t="s">
        <v>439</v>
      </c>
      <c r="I39" s="3" t="s">
        <v>459</v>
      </c>
      <c r="J39" s="3" t="s">
        <v>460</v>
      </c>
      <c r="K39" s="7" t="s">
        <v>202</v>
      </c>
      <c r="L39" s="3" t="s">
        <v>461</v>
      </c>
      <c r="M39" s="3" t="s">
        <v>462</v>
      </c>
    </row>
    <row r="40" spans="1:13" ht="95.25" customHeight="1">
      <c r="A40" s="3" t="s">
        <v>433</v>
      </c>
      <c r="B40" s="5">
        <v>2</v>
      </c>
      <c r="C40" s="3" t="s">
        <v>463</v>
      </c>
      <c r="D40" s="3" t="s">
        <v>464</v>
      </c>
      <c r="E40" s="3" t="s">
        <v>465</v>
      </c>
      <c r="F40" s="3" t="s">
        <v>466</v>
      </c>
      <c r="G40" s="3" t="s">
        <v>467</v>
      </c>
      <c r="H40" s="3" t="s">
        <v>439</v>
      </c>
      <c r="I40" s="3" t="s">
        <v>468</v>
      </c>
      <c r="J40" s="7" t="s">
        <v>469</v>
      </c>
      <c r="K40" s="7" t="s">
        <v>470</v>
      </c>
      <c r="L40" s="3" t="s">
        <v>452</v>
      </c>
      <c r="M40" s="3" t="s">
        <v>471</v>
      </c>
    </row>
    <row r="41" spans="1:13" ht="81.75" customHeight="1">
      <c r="A41" s="3" t="s">
        <v>433</v>
      </c>
      <c r="B41" s="5">
        <v>2</v>
      </c>
      <c r="C41" s="3" t="s">
        <v>472</v>
      </c>
      <c r="D41" s="3" t="s">
        <v>473</v>
      </c>
      <c r="E41" s="3" t="s">
        <v>474</v>
      </c>
      <c r="F41" s="3" t="s">
        <v>475</v>
      </c>
      <c r="G41" s="3" t="s">
        <v>476</v>
      </c>
      <c r="H41" s="3" t="s">
        <v>439</v>
      </c>
      <c r="I41" s="3" t="s">
        <v>477</v>
      </c>
      <c r="J41" s="3" t="s">
        <v>478</v>
      </c>
      <c r="K41" s="7" t="s">
        <v>202</v>
      </c>
      <c r="L41" s="3" t="s">
        <v>452</v>
      </c>
      <c r="M41" s="7" t="s">
        <v>479</v>
      </c>
    </row>
    <row r="42" spans="1:13" ht="69" customHeight="1">
      <c r="A42" s="3" t="s">
        <v>433</v>
      </c>
      <c r="B42" s="5">
        <v>2</v>
      </c>
      <c r="C42" s="3" t="s">
        <v>454</v>
      </c>
      <c r="D42" s="3" t="s">
        <v>480</v>
      </c>
      <c r="E42" s="3" t="s">
        <v>481</v>
      </c>
      <c r="F42" s="3" t="s">
        <v>482</v>
      </c>
      <c r="G42" s="3" t="s">
        <v>483</v>
      </c>
      <c r="H42" s="3" t="s">
        <v>439</v>
      </c>
      <c r="I42" s="3" t="s">
        <v>484</v>
      </c>
      <c r="J42" s="7" t="s">
        <v>478</v>
      </c>
      <c r="K42" s="7" t="s">
        <v>241</v>
      </c>
      <c r="L42" s="3" t="s">
        <v>485</v>
      </c>
      <c r="M42" s="7" t="s">
        <v>486</v>
      </c>
    </row>
    <row r="43" spans="1:13" ht="56.25" customHeight="1">
      <c r="A43" s="3" t="s">
        <v>433</v>
      </c>
      <c r="B43" s="5">
        <v>2</v>
      </c>
      <c r="C43" s="3" t="s">
        <v>487</v>
      </c>
      <c r="D43" s="3" t="s">
        <v>488</v>
      </c>
      <c r="E43" s="3" t="s">
        <v>489</v>
      </c>
      <c r="F43" s="3" t="s">
        <v>490</v>
      </c>
      <c r="G43" s="3" t="s">
        <v>491</v>
      </c>
      <c r="H43" s="3" t="s">
        <v>439</v>
      </c>
      <c r="I43" s="3" t="s">
        <v>492</v>
      </c>
      <c r="J43" s="3" t="s">
        <v>240</v>
      </c>
      <c r="K43" s="7" t="s">
        <v>202</v>
      </c>
      <c r="L43" s="3" t="s">
        <v>452</v>
      </c>
      <c r="M43" s="3" t="s">
        <v>493</v>
      </c>
    </row>
    <row r="44" spans="1:13" ht="56.25" customHeight="1">
      <c r="A44" s="3" t="s">
        <v>433</v>
      </c>
      <c r="B44" s="5">
        <v>2</v>
      </c>
      <c r="C44" s="3" t="s">
        <v>494</v>
      </c>
      <c r="D44" s="3" t="s">
        <v>495</v>
      </c>
      <c r="E44" s="3" t="s">
        <v>496</v>
      </c>
      <c r="F44" s="3" t="s">
        <v>497</v>
      </c>
      <c r="G44" s="3" t="s">
        <v>498</v>
      </c>
      <c r="H44" s="3" t="s">
        <v>439</v>
      </c>
      <c r="I44" s="3" t="s">
        <v>230</v>
      </c>
      <c r="J44" s="3" t="s">
        <v>240</v>
      </c>
      <c r="K44" s="7" t="s">
        <v>241</v>
      </c>
      <c r="L44" s="3" t="s">
        <v>452</v>
      </c>
      <c r="M44" s="3" t="s">
        <v>499</v>
      </c>
    </row>
    <row r="45" spans="1:13" ht="56.25" customHeight="1">
      <c r="A45" s="3" t="s">
        <v>433</v>
      </c>
      <c r="B45" s="5">
        <v>2</v>
      </c>
      <c r="C45" s="3" t="s">
        <v>500</v>
      </c>
      <c r="D45" s="3" t="s">
        <v>501</v>
      </c>
      <c r="E45" s="3" t="s">
        <v>481</v>
      </c>
      <c r="F45" s="3" t="s">
        <v>502</v>
      </c>
      <c r="G45" s="3" t="s">
        <v>498</v>
      </c>
      <c r="H45" s="3" t="s">
        <v>439</v>
      </c>
      <c r="I45" s="3" t="s">
        <v>230</v>
      </c>
      <c r="J45" s="3" t="s">
        <v>240</v>
      </c>
      <c r="K45" s="7" t="s">
        <v>241</v>
      </c>
      <c r="L45" s="3" t="s">
        <v>452</v>
      </c>
      <c r="M45" s="3" t="s">
        <v>503</v>
      </c>
    </row>
    <row r="46" spans="1:13" ht="56.25" customHeight="1">
      <c r="A46" s="3" t="s">
        <v>433</v>
      </c>
      <c r="B46" s="5">
        <v>2</v>
      </c>
      <c r="C46" s="3" t="s">
        <v>504</v>
      </c>
      <c r="D46" s="3" t="s">
        <v>505</v>
      </c>
      <c r="E46" s="3" t="s">
        <v>489</v>
      </c>
      <c r="F46" s="3" t="s">
        <v>506</v>
      </c>
      <c r="G46" s="3" t="s">
        <v>507</v>
      </c>
      <c r="H46" s="3" t="s">
        <v>439</v>
      </c>
      <c r="I46" s="3" t="s">
        <v>230</v>
      </c>
      <c r="J46" s="3" t="s">
        <v>240</v>
      </c>
      <c r="K46" s="7" t="s">
        <v>404</v>
      </c>
      <c r="L46" s="3" t="s">
        <v>452</v>
      </c>
      <c r="M46" s="3" t="s">
        <v>508</v>
      </c>
    </row>
    <row r="47" spans="1:13" ht="56.25" customHeight="1">
      <c r="A47" s="3" t="s">
        <v>433</v>
      </c>
      <c r="B47" s="5">
        <v>2</v>
      </c>
      <c r="C47" s="3" t="s">
        <v>509</v>
      </c>
      <c r="D47" s="3" t="s">
        <v>510</v>
      </c>
      <c r="E47" s="3" t="s">
        <v>489</v>
      </c>
      <c r="F47" s="3" t="s">
        <v>511</v>
      </c>
      <c r="G47" s="3" t="s">
        <v>507</v>
      </c>
      <c r="H47" s="3" t="s">
        <v>439</v>
      </c>
      <c r="I47" s="3" t="s">
        <v>230</v>
      </c>
      <c r="J47" s="3" t="s">
        <v>240</v>
      </c>
      <c r="K47" s="7" t="s">
        <v>404</v>
      </c>
      <c r="L47" s="3" t="s">
        <v>452</v>
      </c>
      <c r="M47" s="3" t="s">
        <v>512</v>
      </c>
    </row>
    <row r="48" spans="1:13" ht="69" customHeight="1">
      <c r="A48" s="3" t="s">
        <v>433</v>
      </c>
      <c r="B48" s="5">
        <v>2</v>
      </c>
      <c r="C48" s="3" t="s">
        <v>513</v>
      </c>
      <c r="D48" s="3" t="s">
        <v>514</v>
      </c>
      <c r="E48" s="3" t="s">
        <v>515</v>
      </c>
      <c r="F48" s="7" t="s">
        <v>516</v>
      </c>
      <c r="G48" s="3" t="s">
        <v>517</v>
      </c>
      <c r="H48" s="3" t="s">
        <v>439</v>
      </c>
      <c r="I48" s="3" t="s">
        <v>518</v>
      </c>
      <c r="J48" s="7" t="s">
        <v>519</v>
      </c>
      <c r="K48" s="7" t="s">
        <v>520</v>
      </c>
      <c r="L48" s="3" t="s">
        <v>521</v>
      </c>
      <c r="M48" s="3" t="s">
        <v>522</v>
      </c>
    </row>
    <row r="49" spans="1:13" ht="56.25" customHeight="1">
      <c r="A49" s="3" t="s">
        <v>433</v>
      </c>
      <c r="B49" s="5">
        <v>3</v>
      </c>
      <c r="C49" s="3" t="s">
        <v>523</v>
      </c>
      <c r="D49" s="3" t="s">
        <v>524</v>
      </c>
      <c r="E49" s="3" t="s">
        <v>525</v>
      </c>
      <c r="F49" s="3" t="s">
        <v>526</v>
      </c>
      <c r="G49" s="3" t="s">
        <v>527</v>
      </c>
      <c r="H49" s="3" t="s">
        <v>439</v>
      </c>
      <c r="I49" s="3" t="s">
        <v>528</v>
      </c>
      <c r="J49" s="3" t="s">
        <v>240</v>
      </c>
      <c r="K49" s="7" t="s">
        <v>529</v>
      </c>
      <c r="L49" s="3" t="s">
        <v>530</v>
      </c>
      <c r="M49" s="3" t="s">
        <v>531</v>
      </c>
    </row>
    <row r="50" spans="1:13" ht="56.25" customHeight="1">
      <c r="A50" s="3" t="s">
        <v>433</v>
      </c>
      <c r="B50" s="5">
        <v>3</v>
      </c>
      <c r="C50" s="3" t="s">
        <v>532</v>
      </c>
      <c r="D50" s="3" t="s">
        <v>533</v>
      </c>
      <c r="E50" s="3" t="s">
        <v>534</v>
      </c>
      <c r="F50" s="3" t="s">
        <v>535</v>
      </c>
      <c r="G50" s="3" t="s">
        <v>536</v>
      </c>
      <c r="H50" s="3" t="s">
        <v>439</v>
      </c>
      <c r="I50" s="3" t="s">
        <v>537</v>
      </c>
      <c r="J50" s="3" t="s">
        <v>240</v>
      </c>
      <c r="K50" s="7" t="s">
        <v>240</v>
      </c>
      <c r="L50" s="3" t="s">
        <v>452</v>
      </c>
      <c r="M50" s="3" t="s">
        <v>538</v>
      </c>
    </row>
    <row r="51" spans="1:13" ht="56.25" customHeight="1">
      <c r="A51" s="3" t="s">
        <v>433</v>
      </c>
      <c r="B51" s="5">
        <v>3</v>
      </c>
      <c r="C51" s="3" t="s">
        <v>434</v>
      </c>
      <c r="D51" s="3" t="s">
        <v>539</v>
      </c>
      <c r="E51" s="3" t="s">
        <v>540</v>
      </c>
      <c r="F51" s="3" t="s">
        <v>541</v>
      </c>
      <c r="G51" s="3" t="s">
        <v>542</v>
      </c>
      <c r="H51" s="3" t="s">
        <v>439</v>
      </c>
      <c r="I51" s="3" t="s">
        <v>543</v>
      </c>
      <c r="J51" s="3" t="s">
        <v>240</v>
      </c>
      <c r="K51" s="7" t="s">
        <v>544</v>
      </c>
      <c r="L51" s="3" t="s">
        <v>545</v>
      </c>
      <c r="M51" s="3" t="s">
        <v>546</v>
      </c>
    </row>
    <row r="52" spans="1:13" ht="56.25" customHeight="1">
      <c r="A52" s="3" t="s">
        <v>433</v>
      </c>
      <c r="B52" s="5">
        <v>3</v>
      </c>
      <c r="C52" s="3" t="s">
        <v>434</v>
      </c>
      <c r="D52" s="3" t="s">
        <v>547</v>
      </c>
      <c r="E52" s="3" t="s">
        <v>548</v>
      </c>
      <c r="F52" s="3" t="s">
        <v>283</v>
      </c>
      <c r="G52" s="3" t="s">
        <v>549</v>
      </c>
      <c r="H52" s="3" t="s">
        <v>439</v>
      </c>
      <c r="I52" s="3" t="s">
        <v>240</v>
      </c>
      <c r="J52" s="3" t="s">
        <v>240</v>
      </c>
      <c r="K52" s="7" t="s">
        <v>241</v>
      </c>
      <c r="L52" s="3" t="s">
        <v>266</v>
      </c>
      <c r="M52" s="3" t="s">
        <v>550</v>
      </c>
    </row>
    <row r="53" spans="1:13" ht="56.25" customHeight="1">
      <c r="A53" s="3" t="s">
        <v>433</v>
      </c>
      <c r="B53" s="5">
        <v>3</v>
      </c>
      <c r="C53" s="3" t="s">
        <v>434</v>
      </c>
      <c r="D53" s="3" t="s">
        <v>551</v>
      </c>
      <c r="E53" s="3" t="s">
        <v>552</v>
      </c>
      <c r="F53" s="3" t="s">
        <v>553</v>
      </c>
      <c r="G53" s="3" t="s">
        <v>554</v>
      </c>
      <c r="H53" s="3" t="s">
        <v>439</v>
      </c>
      <c r="I53" s="3" t="s">
        <v>240</v>
      </c>
      <c r="J53" s="3" t="s">
        <v>240</v>
      </c>
      <c r="K53" s="7" t="s">
        <v>240</v>
      </c>
      <c r="L53" s="3" t="s">
        <v>452</v>
      </c>
      <c r="M53" s="3" t="s">
        <v>555</v>
      </c>
    </row>
    <row r="54" spans="1:13" ht="56.25" customHeight="1">
      <c r="A54" s="3" t="s">
        <v>433</v>
      </c>
      <c r="B54" s="5">
        <v>3</v>
      </c>
      <c r="C54" s="3" t="s">
        <v>556</v>
      </c>
      <c r="D54" s="3" t="s">
        <v>557</v>
      </c>
      <c r="E54" s="3" t="s">
        <v>481</v>
      </c>
      <c r="F54" s="3" t="s">
        <v>558</v>
      </c>
      <c r="G54" s="3" t="s">
        <v>554</v>
      </c>
      <c r="H54" s="3" t="s">
        <v>439</v>
      </c>
      <c r="I54" s="3" t="s">
        <v>240</v>
      </c>
      <c r="J54" s="3" t="s">
        <v>240</v>
      </c>
      <c r="K54" s="7" t="s">
        <v>240</v>
      </c>
      <c r="L54" s="3" t="s">
        <v>452</v>
      </c>
      <c r="M54" s="3" t="s">
        <v>555</v>
      </c>
    </row>
    <row r="55" spans="1:13" ht="56.25" customHeight="1">
      <c r="A55" s="3" t="s">
        <v>433</v>
      </c>
      <c r="B55" s="5">
        <v>3</v>
      </c>
      <c r="C55" s="3" t="s">
        <v>509</v>
      </c>
      <c r="D55" s="3" t="s">
        <v>559</v>
      </c>
      <c r="E55" s="3" t="s">
        <v>548</v>
      </c>
      <c r="F55" s="3" t="s">
        <v>283</v>
      </c>
      <c r="G55" s="3" t="s">
        <v>549</v>
      </c>
      <c r="H55" s="3" t="s">
        <v>439</v>
      </c>
      <c r="I55" s="3" t="s">
        <v>240</v>
      </c>
      <c r="J55" s="3" t="s">
        <v>240</v>
      </c>
      <c r="K55" s="7" t="s">
        <v>241</v>
      </c>
      <c r="L55" s="3" t="s">
        <v>266</v>
      </c>
      <c r="M55" s="3" t="s">
        <v>560</v>
      </c>
    </row>
    <row r="56" spans="1:13" ht="56.25" customHeight="1">
      <c r="A56" s="3" t="s">
        <v>433</v>
      </c>
      <c r="B56" s="5">
        <v>3</v>
      </c>
      <c r="C56" s="3" t="s">
        <v>561</v>
      </c>
      <c r="D56" s="3" t="s">
        <v>562</v>
      </c>
      <c r="E56" s="3" t="s">
        <v>563</v>
      </c>
      <c r="F56" s="3" t="s">
        <v>283</v>
      </c>
      <c r="G56" s="3" t="s">
        <v>549</v>
      </c>
      <c r="H56" s="3" t="s">
        <v>439</v>
      </c>
      <c r="I56" s="3" t="s">
        <v>240</v>
      </c>
      <c r="J56" s="3" t="s">
        <v>240</v>
      </c>
      <c r="K56" s="7" t="s">
        <v>241</v>
      </c>
      <c r="L56" s="3" t="s">
        <v>266</v>
      </c>
      <c r="M56" s="3" t="s">
        <v>560</v>
      </c>
    </row>
    <row r="57" spans="1:13" ht="56.25" customHeight="1">
      <c r="A57" s="3" t="s">
        <v>433</v>
      </c>
      <c r="B57" s="5">
        <v>3</v>
      </c>
      <c r="C57" s="3" t="s">
        <v>564</v>
      </c>
      <c r="D57" s="3" t="s">
        <v>565</v>
      </c>
      <c r="E57" s="3" t="s">
        <v>566</v>
      </c>
      <c r="F57" s="3" t="s">
        <v>283</v>
      </c>
      <c r="G57" s="3" t="s">
        <v>549</v>
      </c>
      <c r="H57" s="3" t="s">
        <v>439</v>
      </c>
      <c r="I57" s="3" t="s">
        <v>240</v>
      </c>
      <c r="J57" s="3" t="s">
        <v>240</v>
      </c>
      <c r="K57" s="7" t="s">
        <v>241</v>
      </c>
      <c r="L57" s="3" t="s">
        <v>266</v>
      </c>
      <c r="M57" s="3" t="s">
        <v>567</v>
      </c>
    </row>
    <row r="58" spans="1:13" ht="56.25" customHeight="1">
      <c r="A58" s="3" t="s">
        <v>433</v>
      </c>
      <c r="B58" s="5">
        <v>3</v>
      </c>
      <c r="C58" s="3" t="s">
        <v>568</v>
      </c>
      <c r="D58" s="3" t="s">
        <v>569</v>
      </c>
      <c r="E58" s="3" t="s">
        <v>548</v>
      </c>
      <c r="F58" s="3" t="s">
        <v>283</v>
      </c>
      <c r="G58" s="3" t="s">
        <v>549</v>
      </c>
      <c r="H58" s="3" t="s">
        <v>439</v>
      </c>
      <c r="I58" s="3" t="s">
        <v>240</v>
      </c>
      <c r="J58" s="3" t="s">
        <v>240</v>
      </c>
      <c r="K58" s="7" t="s">
        <v>241</v>
      </c>
      <c r="L58" s="3" t="s">
        <v>266</v>
      </c>
      <c r="M58" s="3" t="s">
        <v>560</v>
      </c>
    </row>
    <row r="59" spans="1:13" ht="56.25" customHeight="1">
      <c r="A59" s="3" t="s">
        <v>433</v>
      </c>
      <c r="B59" s="5">
        <v>3</v>
      </c>
      <c r="C59" s="3" t="s">
        <v>570</v>
      </c>
      <c r="D59" s="3" t="s">
        <v>571</v>
      </c>
      <c r="E59" s="3" t="s">
        <v>566</v>
      </c>
      <c r="F59" s="3" t="s">
        <v>283</v>
      </c>
      <c r="G59" s="3" t="s">
        <v>549</v>
      </c>
      <c r="H59" s="3" t="s">
        <v>439</v>
      </c>
      <c r="I59" s="3" t="s">
        <v>240</v>
      </c>
      <c r="J59" s="3" t="s">
        <v>240</v>
      </c>
      <c r="K59" s="7" t="s">
        <v>241</v>
      </c>
      <c r="L59" s="3" t="s">
        <v>266</v>
      </c>
      <c r="M59" s="3" t="s">
        <v>560</v>
      </c>
    </row>
    <row r="60" spans="1:13" ht="56.25" customHeight="1">
      <c r="A60" s="3" t="s">
        <v>433</v>
      </c>
      <c r="B60" s="5">
        <v>3</v>
      </c>
      <c r="C60" s="3" t="s">
        <v>572</v>
      </c>
      <c r="D60" s="3" t="s">
        <v>573</v>
      </c>
      <c r="E60" s="3" t="s">
        <v>574</v>
      </c>
      <c r="F60" s="3" t="s">
        <v>283</v>
      </c>
      <c r="G60" s="3" t="s">
        <v>575</v>
      </c>
      <c r="H60" s="3" t="s">
        <v>439</v>
      </c>
      <c r="I60" s="3" t="s">
        <v>240</v>
      </c>
      <c r="J60" s="3" t="s">
        <v>240</v>
      </c>
      <c r="K60" s="7" t="s">
        <v>404</v>
      </c>
      <c r="L60" s="3" t="s">
        <v>266</v>
      </c>
      <c r="M60" s="3" t="s">
        <v>560</v>
      </c>
    </row>
    <row r="61" spans="1:13" ht="56.25" customHeight="1">
      <c r="A61" s="3" t="s">
        <v>433</v>
      </c>
      <c r="B61" s="5">
        <v>3</v>
      </c>
      <c r="C61" s="3" t="s">
        <v>576</v>
      </c>
      <c r="D61" s="3" t="s">
        <v>577</v>
      </c>
      <c r="E61" s="3" t="s">
        <v>578</v>
      </c>
      <c r="F61" s="3" t="s">
        <v>579</v>
      </c>
      <c r="G61" s="3" t="s">
        <v>554</v>
      </c>
      <c r="H61" s="3" t="s">
        <v>439</v>
      </c>
      <c r="I61" s="3" t="s">
        <v>240</v>
      </c>
      <c r="J61" s="3" t="s">
        <v>240</v>
      </c>
      <c r="K61" s="7" t="s">
        <v>240</v>
      </c>
      <c r="L61" s="3" t="s">
        <v>452</v>
      </c>
      <c r="M61" s="3" t="s">
        <v>555</v>
      </c>
    </row>
    <row r="62" spans="1:13" ht="56.25" customHeight="1">
      <c r="A62" s="3" t="s">
        <v>433</v>
      </c>
      <c r="B62" s="5">
        <v>3</v>
      </c>
      <c r="C62" s="3" t="s">
        <v>580</v>
      </c>
      <c r="D62" s="3" t="s">
        <v>581</v>
      </c>
      <c r="E62" s="3" t="s">
        <v>481</v>
      </c>
      <c r="F62" s="3" t="s">
        <v>582</v>
      </c>
      <c r="G62" s="3" t="s">
        <v>554</v>
      </c>
      <c r="H62" s="3" t="s">
        <v>439</v>
      </c>
      <c r="I62" s="3" t="s">
        <v>240</v>
      </c>
      <c r="J62" s="3" t="s">
        <v>240</v>
      </c>
      <c r="K62" s="7" t="s">
        <v>240</v>
      </c>
      <c r="L62" s="3" t="s">
        <v>452</v>
      </c>
      <c r="M62" s="3" t="s">
        <v>555</v>
      </c>
    </row>
    <row r="63" spans="1:13" ht="56.25" customHeight="1">
      <c r="A63" s="3" t="s">
        <v>433</v>
      </c>
      <c r="B63" s="5">
        <v>3</v>
      </c>
      <c r="C63" s="3" t="s">
        <v>583</v>
      </c>
      <c r="D63" s="3" t="s">
        <v>584</v>
      </c>
      <c r="E63" s="3" t="s">
        <v>585</v>
      </c>
      <c r="F63" s="3" t="s">
        <v>586</v>
      </c>
      <c r="G63" s="3" t="s">
        <v>554</v>
      </c>
      <c r="H63" s="3" t="s">
        <v>439</v>
      </c>
      <c r="I63" s="3" t="s">
        <v>240</v>
      </c>
      <c r="J63" s="3" t="s">
        <v>240</v>
      </c>
      <c r="K63" s="7" t="s">
        <v>240</v>
      </c>
      <c r="L63" s="3" t="s">
        <v>452</v>
      </c>
      <c r="M63" s="3" t="s">
        <v>587</v>
      </c>
    </row>
    <row r="64" spans="1:13" ht="56.25" customHeight="1">
      <c r="A64" s="3" t="s">
        <v>433</v>
      </c>
      <c r="B64" s="5">
        <v>3</v>
      </c>
      <c r="C64" s="3" t="s">
        <v>588</v>
      </c>
      <c r="D64" s="3" t="s">
        <v>589</v>
      </c>
      <c r="E64" s="3" t="s">
        <v>481</v>
      </c>
      <c r="F64" s="3" t="s">
        <v>590</v>
      </c>
      <c r="G64" s="3" t="s">
        <v>554</v>
      </c>
      <c r="H64" s="3" t="s">
        <v>439</v>
      </c>
      <c r="I64" s="3" t="s">
        <v>240</v>
      </c>
      <c r="J64" s="3" t="s">
        <v>240</v>
      </c>
      <c r="K64" s="7" t="s">
        <v>240</v>
      </c>
      <c r="L64" s="3" t="s">
        <v>452</v>
      </c>
      <c r="M64" s="3" t="s">
        <v>555</v>
      </c>
    </row>
    <row r="65" spans="1:13" ht="290.25" customHeight="1">
      <c r="A65" s="3" t="s">
        <v>591</v>
      </c>
      <c r="B65" s="5">
        <v>2</v>
      </c>
      <c r="C65" s="3" t="s">
        <v>592</v>
      </c>
      <c r="D65" s="3" t="s">
        <v>593</v>
      </c>
      <c r="E65" s="3" t="s">
        <v>594</v>
      </c>
      <c r="F65" s="7" t="s">
        <v>595</v>
      </c>
      <c r="G65" s="3" t="s">
        <v>596</v>
      </c>
      <c r="H65" s="3" t="s">
        <v>597</v>
      </c>
      <c r="I65" s="7" t="s">
        <v>598</v>
      </c>
      <c r="J65" s="7" t="s">
        <v>599</v>
      </c>
      <c r="K65" s="3" t="s">
        <v>600</v>
      </c>
      <c r="L65" s="3" t="s">
        <v>601</v>
      </c>
      <c r="M65" s="7" t="s">
        <v>602</v>
      </c>
    </row>
    <row r="66" spans="1:13" ht="276.75" customHeight="1">
      <c r="A66" s="3" t="s">
        <v>591</v>
      </c>
      <c r="B66" s="5">
        <v>2</v>
      </c>
      <c r="C66" s="3" t="s">
        <v>603</v>
      </c>
      <c r="D66" s="3" t="s">
        <v>604</v>
      </c>
      <c r="E66" s="3" t="s">
        <v>605</v>
      </c>
      <c r="F66" s="3" t="s">
        <v>606</v>
      </c>
      <c r="G66" s="3" t="s">
        <v>607</v>
      </c>
      <c r="H66" s="3" t="s">
        <v>240</v>
      </c>
      <c r="I66" s="7" t="s">
        <v>608</v>
      </c>
      <c r="J66" s="7" t="s">
        <v>609</v>
      </c>
      <c r="K66" s="3" t="s">
        <v>610</v>
      </c>
      <c r="L66" s="3" t="s">
        <v>611</v>
      </c>
      <c r="M66" s="3" t="s">
        <v>612</v>
      </c>
    </row>
    <row r="67" spans="1:13" ht="186" customHeight="1">
      <c r="A67" s="3" t="s">
        <v>591</v>
      </c>
      <c r="B67" s="5">
        <v>2</v>
      </c>
      <c r="C67" s="3" t="s">
        <v>613</v>
      </c>
      <c r="D67" s="3" t="s">
        <v>614</v>
      </c>
      <c r="E67" s="3" t="s">
        <v>615</v>
      </c>
      <c r="F67" s="7" t="s">
        <v>616</v>
      </c>
      <c r="G67" s="3" t="s">
        <v>617</v>
      </c>
      <c r="H67" s="3" t="s">
        <v>240</v>
      </c>
      <c r="I67" s="7" t="s">
        <v>618</v>
      </c>
      <c r="J67" s="7" t="s">
        <v>619</v>
      </c>
      <c r="K67" s="3" t="s">
        <v>620</v>
      </c>
      <c r="L67" s="3" t="s">
        <v>621</v>
      </c>
      <c r="M67" s="7" t="s">
        <v>622</v>
      </c>
    </row>
    <row r="68" spans="1:13" ht="186" customHeight="1">
      <c r="A68" s="3" t="s">
        <v>591</v>
      </c>
      <c r="B68" s="5">
        <v>2</v>
      </c>
      <c r="C68" s="3" t="s">
        <v>623</v>
      </c>
      <c r="D68" s="3" t="s">
        <v>624</v>
      </c>
      <c r="E68" s="3" t="s">
        <v>625</v>
      </c>
      <c r="F68" s="7" t="s">
        <v>626</v>
      </c>
      <c r="G68" s="3" t="s">
        <v>627</v>
      </c>
      <c r="H68" s="3" t="s">
        <v>240</v>
      </c>
      <c r="I68" s="7" t="s">
        <v>628</v>
      </c>
      <c r="J68" s="7" t="s">
        <v>629</v>
      </c>
      <c r="K68" s="3" t="s">
        <v>630</v>
      </c>
      <c r="L68" s="3" t="s">
        <v>631</v>
      </c>
      <c r="M68" s="3" t="s">
        <v>632</v>
      </c>
    </row>
    <row r="69" spans="1:13" ht="95.25" customHeight="1">
      <c r="A69" s="3" t="s">
        <v>591</v>
      </c>
      <c r="B69" s="5">
        <v>2</v>
      </c>
      <c r="C69" s="3" t="s">
        <v>633</v>
      </c>
      <c r="D69" s="3" t="s">
        <v>634</v>
      </c>
      <c r="E69" s="3" t="s">
        <v>635</v>
      </c>
      <c r="F69" s="3" t="s">
        <v>636</v>
      </c>
      <c r="G69" s="3" t="s">
        <v>637</v>
      </c>
      <c r="H69" s="3" t="s">
        <v>240</v>
      </c>
      <c r="I69" s="7" t="s">
        <v>638</v>
      </c>
      <c r="J69" s="7" t="s">
        <v>639</v>
      </c>
      <c r="K69" s="3" t="s">
        <v>240</v>
      </c>
      <c r="L69" s="3" t="s">
        <v>640</v>
      </c>
      <c r="M69" s="3" t="s">
        <v>641</v>
      </c>
    </row>
    <row r="70" spans="1:13" ht="69" customHeight="1">
      <c r="A70" s="3" t="s">
        <v>591</v>
      </c>
      <c r="B70" s="5">
        <v>3</v>
      </c>
      <c r="C70" s="3" t="s">
        <v>642</v>
      </c>
      <c r="D70" s="3" t="s">
        <v>643</v>
      </c>
      <c r="E70" s="3" t="s">
        <v>644</v>
      </c>
      <c r="F70" s="3" t="s">
        <v>283</v>
      </c>
      <c r="G70" s="3" t="s">
        <v>645</v>
      </c>
      <c r="H70" s="3" t="s">
        <v>240</v>
      </c>
      <c r="I70" s="3" t="s">
        <v>240</v>
      </c>
      <c r="J70" s="3" t="s">
        <v>240</v>
      </c>
      <c r="K70" s="3" t="s">
        <v>646</v>
      </c>
      <c r="L70" s="3" t="s">
        <v>647</v>
      </c>
      <c r="M70" s="3" t="s">
        <v>648</v>
      </c>
    </row>
    <row r="71" spans="1:13" ht="56.25" customHeight="1">
      <c r="A71" s="3" t="s">
        <v>591</v>
      </c>
      <c r="B71" s="5">
        <v>3</v>
      </c>
      <c r="C71" s="3" t="s">
        <v>649</v>
      </c>
      <c r="D71" s="3" t="s">
        <v>650</v>
      </c>
      <c r="E71" s="3" t="s">
        <v>651</v>
      </c>
      <c r="F71" s="3" t="s">
        <v>283</v>
      </c>
      <c r="G71" s="3" t="s">
        <v>645</v>
      </c>
      <c r="H71" s="3" t="s">
        <v>240</v>
      </c>
      <c r="I71" s="3" t="s">
        <v>240</v>
      </c>
      <c r="J71" s="3" t="s">
        <v>240</v>
      </c>
      <c r="K71" s="3" t="s">
        <v>652</v>
      </c>
      <c r="L71" s="3" t="s">
        <v>653</v>
      </c>
      <c r="M71" s="3" t="s">
        <v>654</v>
      </c>
    </row>
    <row r="72" spans="1:13" ht="56.25" customHeight="1">
      <c r="A72" s="3" t="s">
        <v>591</v>
      </c>
      <c r="B72" s="5">
        <v>3</v>
      </c>
      <c r="C72" s="3" t="s">
        <v>642</v>
      </c>
      <c r="D72" s="3" t="s">
        <v>655</v>
      </c>
      <c r="E72" s="3" t="s">
        <v>656</v>
      </c>
      <c r="F72" s="3" t="s">
        <v>283</v>
      </c>
      <c r="G72" s="3" t="s">
        <v>645</v>
      </c>
      <c r="H72" s="3" t="s">
        <v>240</v>
      </c>
      <c r="I72" s="3" t="s">
        <v>240</v>
      </c>
      <c r="J72" s="3" t="s">
        <v>240</v>
      </c>
      <c r="K72" s="3" t="s">
        <v>657</v>
      </c>
      <c r="L72" s="3" t="s">
        <v>658</v>
      </c>
      <c r="M72" s="3" t="s">
        <v>659</v>
      </c>
    </row>
    <row r="73" spans="1:13" ht="56.25" customHeight="1">
      <c r="A73" s="3" t="s">
        <v>591</v>
      </c>
      <c r="B73" s="5">
        <v>3</v>
      </c>
      <c r="C73" s="3" t="s">
        <v>642</v>
      </c>
      <c r="D73" s="3" t="s">
        <v>660</v>
      </c>
      <c r="E73" s="3" t="s">
        <v>661</v>
      </c>
      <c r="F73" s="3" t="s">
        <v>283</v>
      </c>
      <c r="G73" s="3" t="s">
        <v>645</v>
      </c>
      <c r="H73" s="3" t="s">
        <v>240</v>
      </c>
      <c r="I73" s="3" t="s">
        <v>240</v>
      </c>
      <c r="J73" s="3" t="s">
        <v>240</v>
      </c>
      <c r="K73" s="3" t="s">
        <v>404</v>
      </c>
      <c r="L73" s="3" t="s">
        <v>662</v>
      </c>
      <c r="M73" s="3" t="s">
        <v>663</v>
      </c>
    </row>
    <row r="74" spans="1:13" ht="42.75" customHeight="1">
      <c r="A74" s="3" t="s">
        <v>591</v>
      </c>
      <c r="B74" s="5">
        <v>3</v>
      </c>
      <c r="C74" s="3" t="s">
        <v>664</v>
      </c>
      <c r="D74" s="3" t="s">
        <v>665</v>
      </c>
      <c r="E74" s="3" t="s">
        <v>666</v>
      </c>
      <c r="F74" s="3" t="s">
        <v>283</v>
      </c>
      <c r="G74" s="3" t="s">
        <v>645</v>
      </c>
      <c r="H74" s="3" t="s">
        <v>240</v>
      </c>
      <c r="I74" s="3" t="s">
        <v>240</v>
      </c>
      <c r="J74" s="3" t="s">
        <v>240</v>
      </c>
      <c r="K74" s="3" t="s">
        <v>404</v>
      </c>
      <c r="L74" s="3" t="s">
        <v>266</v>
      </c>
      <c r="M74" s="3" t="s">
        <v>667</v>
      </c>
    </row>
    <row r="75" spans="1:13" ht="42.75" customHeight="1">
      <c r="A75" s="3" t="s">
        <v>591</v>
      </c>
      <c r="B75" s="5">
        <v>3</v>
      </c>
      <c r="C75" s="3" t="s">
        <v>649</v>
      </c>
      <c r="D75" s="3" t="s">
        <v>668</v>
      </c>
      <c r="E75" s="3" t="s">
        <v>669</v>
      </c>
      <c r="F75" s="3" t="s">
        <v>283</v>
      </c>
      <c r="G75" s="3" t="s">
        <v>645</v>
      </c>
      <c r="H75" s="3" t="s">
        <v>240</v>
      </c>
      <c r="I75" s="3" t="s">
        <v>240</v>
      </c>
      <c r="J75" s="3" t="s">
        <v>240</v>
      </c>
      <c r="K75" s="3" t="s">
        <v>670</v>
      </c>
      <c r="L75" s="3" t="s">
        <v>671</v>
      </c>
      <c r="M75" s="3" t="s">
        <v>672</v>
      </c>
    </row>
    <row r="76" spans="1:13" ht="42.75" customHeight="1">
      <c r="A76" s="3" t="s">
        <v>591</v>
      </c>
      <c r="B76" s="5">
        <v>3</v>
      </c>
      <c r="C76" s="3" t="s">
        <v>649</v>
      </c>
      <c r="D76" s="3" t="s">
        <v>673</v>
      </c>
      <c r="E76" s="3" t="s">
        <v>669</v>
      </c>
      <c r="F76" s="3" t="s">
        <v>283</v>
      </c>
      <c r="G76" s="3" t="s">
        <v>645</v>
      </c>
      <c r="H76" s="3" t="s">
        <v>240</v>
      </c>
      <c r="I76" s="3" t="s">
        <v>240</v>
      </c>
      <c r="J76" s="3" t="s">
        <v>240</v>
      </c>
      <c r="K76" s="3" t="s">
        <v>674</v>
      </c>
      <c r="L76" s="3" t="s">
        <v>266</v>
      </c>
      <c r="M76" s="3" t="s">
        <v>675</v>
      </c>
    </row>
    <row r="77" spans="1:13" ht="42.75" customHeight="1">
      <c r="A77" s="3" t="s">
        <v>591</v>
      </c>
      <c r="B77" s="5">
        <v>3</v>
      </c>
      <c r="C77" s="3" t="s">
        <v>649</v>
      </c>
      <c r="D77" s="3" t="s">
        <v>676</v>
      </c>
      <c r="E77" s="3" t="s">
        <v>677</v>
      </c>
      <c r="F77" s="3" t="s">
        <v>283</v>
      </c>
      <c r="G77" s="3" t="s">
        <v>645</v>
      </c>
      <c r="H77" s="3" t="s">
        <v>240</v>
      </c>
      <c r="I77" s="3" t="s">
        <v>240</v>
      </c>
      <c r="J77" s="3" t="s">
        <v>240</v>
      </c>
      <c r="K77" s="3" t="s">
        <v>678</v>
      </c>
      <c r="L77" s="3" t="s">
        <v>679</v>
      </c>
      <c r="M77" s="3" t="s">
        <v>680</v>
      </c>
    </row>
    <row r="78" spans="1:13" ht="56.25" customHeight="1">
      <c r="A78" s="3" t="s">
        <v>591</v>
      </c>
      <c r="B78" s="5">
        <v>3</v>
      </c>
      <c r="C78" s="3" t="s">
        <v>681</v>
      </c>
      <c r="D78" s="3" t="s">
        <v>682</v>
      </c>
      <c r="E78" s="3" t="s">
        <v>669</v>
      </c>
      <c r="F78" s="3" t="s">
        <v>283</v>
      </c>
      <c r="G78" s="3" t="s">
        <v>645</v>
      </c>
      <c r="H78" s="3" t="s">
        <v>240</v>
      </c>
      <c r="I78" s="3" t="s">
        <v>240</v>
      </c>
      <c r="J78" s="3" t="s">
        <v>240</v>
      </c>
      <c r="K78" s="3" t="s">
        <v>683</v>
      </c>
      <c r="L78" s="3" t="s">
        <v>266</v>
      </c>
      <c r="M78" s="3" t="s">
        <v>684</v>
      </c>
    </row>
    <row r="79" spans="1:13" ht="42.75" customHeight="1">
      <c r="A79" s="3" t="s">
        <v>591</v>
      </c>
      <c r="B79" s="5">
        <v>3</v>
      </c>
      <c r="C79" s="3" t="s">
        <v>685</v>
      </c>
      <c r="D79" s="3" t="s">
        <v>686</v>
      </c>
      <c r="E79" s="3" t="s">
        <v>669</v>
      </c>
      <c r="F79" s="3" t="s">
        <v>283</v>
      </c>
      <c r="G79" s="3" t="s">
        <v>645</v>
      </c>
      <c r="H79" s="3" t="s">
        <v>240</v>
      </c>
      <c r="I79" s="3" t="s">
        <v>240</v>
      </c>
      <c r="J79" s="3" t="s">
        <v>240</v>
      </c>
      <c r="K79" s="3" t="s">
        <v>687</v>
      </c>
      <c r="L79" s="3" t="s">
        <v>266</v>
      </c>
      <c r="M79" s="3" t="s">
        <v>688</v>
      </c>
    </row>
    <row r="80" spans="1:13" ht="42.75" customHeight="1">
      <c r="A80" s="3" t="s">
        <v>591</v>
      </c>
      <c r="B80" s="5">
        <v>3</v>
      </c>
      <c r="C80" s="3" t="s">
        <v>689</v>
      </c>
      <c r="D80" s="3" t="s">
        <v>690</v>
      </c>
      <c r="E80" s="3" t="s">
        <v>669</v>
      </c>
      <c r="F80" s="3" t="s">
        <v>283</v>
      </c>
      <c r="G80" s="3" t="s">
        <v>645</v>
      </c>
      <c r="H80" s="3" t="s">
        <v>240</v>
      </c>
      <c r="I80" s="3" t="s">
        <v>240</v>
      </c>
      <c r="J80" s="3" t="s">
        <v>240</v>
      </c>
      <c r="K80" s="3" t="s">
        <v>691</v>
      </c>
      <c r="L80" s="3" t="s">
        <v>266</v>
      </c>
      <c r="M80" s="3" t="s">
        <v>692</v>
      </c>
    </row>
    <row r="81" spans="1:13" ht="42.75" customHeight="1">
      <c r="A81" s="3" t="s">
        <v>591</v>
      </c>
      <c r="B81" s="5">
        <v>3</v>
      </c>
      <c r="C81" s="3" t="s">
        <v>693</v>
      </c>
      <c r="D81" s="3" t="s">
        <v>694</v>
      </c>
      <c r="E81" s="3" t="s">
        <v>695</v>
      </c>
      <c r="F81" s="3" t="s">
        <v>283</v>
      </c>
      <c r="G81" s="3" t="s">
        <v>645</v>
      </c>
      <c r="H81" s="3" t="s">
        <v>240</v>
      </c>
      <c r="I81" s="3" t="s">
        <v>240</v>
      </c>
      <c r="J81" s="3" t="s">
        <v>240</v>
      </c>
      <c r="K81" s="3" t="s">
        <v>696</v>
      </c>
      <c r="L81" s="3" t="s">
        <v>266</v>
      </c>
      <c r="M81" s="3" t="s">
        <v>697</v>
      </c>
    </row>
    <row r="82" spans="1:13" ht="186" customHeight="1">
      <c r="A82" s="3" t="s">
        <v>698</v>
      </c>
      <c r="B82" s="5">
        <v>1</v>
      </c>
      <c r="C82" s="3" t="s">
        <v>699</v>
      </c>
      <c r="D82" s="3" t="s">
        <v>700</v>
      </c>
      <c r="E82" s="3" t="s">
        <v>701</v>
      </c>
      <c r="F82" s="3" t="s">
        <v>702</v>
      </c>
      <c r="G82" s="3" t="s">
        <v>703</v>
      </c>
      <c r="H82" s="3" t="s">
        <v>240</v>
      </c>
      <c r="I82" s="7" t="s">
        <v>704</v>
      </c>
      <c r="J82" s="7" t="s">
        <v>705</v>
      </c>
      <c r="K82" s="3" t="s">
        <v>706</v>
      </c>
      <c r="L82" s="3" t="s">
        <v>707</v>
      </c>
      <c r="M82" s="7" t="s">
        <v>708</v>
      </c>
    </row>
    <row r="83" spans="1:13" ht="108" customHeight="1">
      <c r="A83" s="3" t="s">
        <v>698</v>
      </c>
      <c r="B83" s="5">
        <v>2</v>
      </c>
      <c r="C83" s="3" t="s">
        <v>709</v>
      </c>
      <c r="D83" s="3" t="s">
        <v>710</v>
      </c>
      <c r="E83" s="3" t="s">
        <v>711</v>
      </c>
      <c r="F83" s="3" t="s">
        <v>712</v>
      </c>
      <c r="G83" s="3" t="s">
        <v>713</v>
      </c>
      <c r="H83" s="3" t="s">
        <v>714</v>
      </c>
      <c r="I83" s="7" t="s">
        <v>715</v>
      </c>
      <c r="J83" s="3" t="s">
        <v>240</v>
      </c>
      <c r="K83" s="3" t="s">
        <v>716</v>
      </c>
      <c r="L83" s="3" t="s">
        <v>717</v>
      </c>
      <c r="M83" s="3" t="s">
        <v>718</v>
      </c>
    </row>
    <row r="84" spans="1:13" ht="108" customHeight="1">
      <c r="A84" s="3" t="s">
        <v>698</v>
      </c>
      <c r="B84" s="5">
        <v>2</v>
      </c>
      <c r="C84" s="3" t="s">
        <v>719</v>
      </c>
      <c r="D84" s="3" t="s">
        <v>720</v>
      </c>
      <c r="E84" s="3" t="s">
        <v>721</v>
      </c>
      <c r="F84" s="7" t="s">
        <v>283</v>
      </c>
      <c r="G84" s="3" t="s">
        <v>722</v>
      </c>
      <c r="H84" s="3" t="s">
        <v>240</v>
      </c>
      <c r="I84" s="7" t="s">
        <v>723</v>
      </c>
      <c r="J84" s="3" t="s">
        <v>724</v>
      </c>
      <c r="K84" s="3" t="s">
        <v>725</v>
      </c>
      <c r="L84" s="3" t="s">
        <v>726</v>
      </c>
      <c r="M84" s="7" t="s">
        <v>727</v>
      </c>
    </row>
    <row r="85" spans="1:13" ht="69" customHeight="1">
      <c r="A85" s="3" t="s">
        <v>698</v>
      </c>
      <c r="B85" s="5">
        <v>2</v>
      </c>
      <c r="C85" s="3" t="s">
        <v>728</v>
      </c>
      <c r="D85" s="3" t="s">
        <v>729</v>
      </c>
      <c r="E85" s="3" t="s">
        <v>730</v>
      </c>
      <c r="F85" s="7" t="s">
        <v>731</v>
      </c>
      <c r="G85" s="3" t="s">
        <v>732</v>
      </c>
      <c r="H85" s="3" t="s">
        <v>240</v>
      </c>
      <c r="I85" s="7" t="s">
        <v>733</v>
      </c>
      <c r="J85" s="7" t="s">
        <v>734</v>
      </c>
      <c r="K85" s="3" t="s">
        <v>735</v>
      </c>
      <c r="L85" s="3" t="s">
        <v>736</v>
      </c>
      <c r="M85" s="7" t="s">
        <v>737</v>
      </c>
    </row>
    <row r="86" spans="1:13" ht="198.75" customHeight="1">
      <c r="A86" s="3" t="s">
        <v>698</v>
      </c>
      <c r="B86" s="6">
        <v>2</v>
      </c>
      <c r="C86" s="3" t="s">
        <v>738</v>
      </c>
      <c r="D86" s="3" t="s">
        <v>739</v>
      </c>
      <c r="E86" s="3" t="s">
        <v>740</v>
      </c>
      <c r="F86" s="3" t="s">
        <v>741</v>
      </c>
      <c r="G86" s="3" t="s">
        <v>742</v>
      </c>
      <c r="H86" s="3" t="s">
        <v>743</v>
      </c>
      <c r="I86" s="7" t="s">
        <v>744</v>
      </c>
      <c r="J86" s="3" t="s">
        <v>745</v>
      </c>
      <c r="K86" s="3" t="s">
        <v>746</v>
      </c>
      <c r="L86" s="3" t="s">
        <v>747</v>
      </c>
      <c r="M86" s="3" t="s">
        <v>748</v>
      </c>
    </row>
    <row r="87" spans="1:13" ht="56.25" customHeight="1">
      <c r="A87" s="3" t="s">
        <v>698</v>
      </c>
      <c r="B87" s="6">
        <v>3</v>
      </c>
      <c r="C87" s="3" t="s">
        <v>749</v>
      </c>
      <c r="D87" s="3" t="s">
        <v>750</v>
      </c>
      <c r="E87" s="3" t="s">
        <v>751</v>
      </c>
      <c r="F87" s="3" t="s">
        <v>283</v>
      </c>
      <c r="G87" s="3" t="s">
        <v>752</v>
      </c>
      <c r="H87" s="3" t="s">
        <v>240</v>
      </c>
      <c r="I87" s="7" t="s">
        <v>753</v>
      </c>
      <c r="J87" s="3" t="s">
        <v>240</v>
      </c>
      <c r="K87" s="3" t="s">
        <v>754</v>
      </c>
      <c r="L87" s="3" t="s">
        <v>726</v>
      </c>
      <c r="M87" s="3" t="s">
        <v>755</v>
      </c>
    </row>
    <row r="88" spans="1:13" ht="56.25" customHeight="1">
      <c r="A88" s="3" t="s">
        <v>698</v>
      </c>
      <c r="B88" s="6">
        <v>3</v>
      </c>
      <c r="C88" s="3" t="s">
        <v>756</v>
      </c>
      <c r="D88" s="3" t="s">
        <v>757</v>
      </c>
      <c r="E88" s="3" t="s">
        <v>751</v>
      </c>
      <c r="F88" s="3" t="s">
        <v>283</v>
      </c>
      <c r="G88" s="3" t="s">
        <v>752</v>
      </c>
      <c r="H88" s="3" t="s">
        <v>240</v>
      </c>
      <c r="I88" s="7" t="s">
        <v>753</v>
      </c>
      <c r="J88" s="3" t="s">
        <v>240</v>
      </c>
      <c r="K88" s="3" t="s">
        <v>754</v>
      </c>
      <c r="L88" s="3" t="s">
        <v>726</v>
      </c>
      <c r="M88" s="3" t="s">
        <v>758</v>
      </c>
    </row>
    <row r="89" spans="1:13" ht="56.25" customHeight="1">
      <c r="A89" s="3" t="s">
        <v>698</v>
      </c>
      <c r="B89" s="6">
        <v>3</v>
      </c>
      <c r="C89" s="3" t="s">
        <v>759</v>
      </c>
      <c r="D89" s="3" t="s">
        <v>760</v>
      </c>
      <c r="E89" s="3" t="s">
        <v>751</v>
      </c>
      <c r="F89" s="3" t="s">
        <v>283</v>
      </c>
      <c r="G89" s="3" t="s">
        <v>752</v>
      </c>
      <c r="H89" s="3" t="s">
        <v>240</v>
      </c>
      <c r="I89" s="7" t="s">
        <v>753</v>
      </c>
      <c r="J89" s="3" t="s">
        <v>240</v>
      </c>
      <c r="K89" s="3" t="s">
        <v>754</v>
      </c>
      <c r="L89" s="3" t="s">
        <v>726</v>
      </c>
      <c r="M89" s="3" t="s">
        <v>761</v>
      </c>
    </row>
    <row r="90" spans="1:13" ht="56.25" customHeight="1">
      <c r="A90" s="3" t="s">
        <v>698</v>
      </c>
      <c r="B90" s="6">
        <v>3</v>
      </c>
      <c r="C90" s="3" t="s">
        <v>762</v>
      </c>
      <c r="D90" s="3" t="s">
        <v>763</v>
      </c>
      <c r="E90" s="3" t="s">
        <v>751</v>
      </c>
      <c r="F90" s="3" t="s">
        <v>283</v>
      </c>
      <c r="G90" s="3" t="s">
        <v>752</v>
      </c>
      <c r="H90" s="3" t="s">
        <v>240</v>
      </c>
      <c r="I90" s="7" t="s">
        <v>753</v>
      </c>
      <c r="J90" s="3" t="s">
        <v>240</v>
      </c>
      <c r="K90" s="3" t="s">
        <v>754</v>
      </c>
      <c r="L90" s="3" t="s">
        <v>726</v>
      </c>
      <c r="M90" s="3" t="s">
        <v>764</v>
      </c>
    </row>
    <row r="91" spans="1:13" ht="56.25" customHeight="1">
      <c r="A91" s="3" t="s">
        <v>698</v>
      </c>
      <c r="B91" s="6">
        <v>3</v>
      </c>
      <c r="C91" s="3" t="s">
        <v>765</v>
      </c>
      <c r="D91" s="3" t="s">
        <v>766</v>
      </c>
      <c r="E91" s="3" t="s">
        <v>751</v>
      </c>
      <c r="F91" s="3" t="s">
        <v>283</v>
      </c>
      <c r="G91" s="3" t="s">
        <v>752</v>
      </c>
      <c r="H91" s="3" t="s">
        <v>240</v>
      </c>
      <c r="I91" s="7" t="s">
        <v>753</v>
      </c>
      <c r="J91" s="3" t="s">
        <v>240</v>
      </c>
      <c r="K91" s="3" t="s">
        <v>754</v>
      </c>
      <c r="L91" s="3" t="s">
        <v>726</v>
      </c>
      <c r="M91" s="3" t="s">
        <v>767</v>
      </c>
    </row>
    <row r="92" spans="1:13" ht="56.25" customHeight="1">
      <c r="A92" s="3" t="s">
        <v>698</v>
      </c>
      <c r="B92" s="6">
        <v>3</v>
      </c>
      <c r="C92" s="3" t="s">
        <v>768</v>
      </c>
      <c r="D92" s="3" t="s">
        <v>769</v>
      </c>
      <c r="E92" s="3" t="s">
        <v>751</v>
      </c>
      <c r="F92" s="3" t="s">
        <v>283</v>
      </c>
      <c r="G92" s="3" t="s">
        <v>752</v>
      </c>
      <c r="H92" s="3" t="s">
        <v>240</v>
      </c>
      <c r="I92" s="7" t="s">
        <v>753</v>
      </c>
      <c r="J92" s="3" t="s">
        <v>240</v>
      </c>
      <c r="K92" s="3" t="s">
        <v>754</v>
      </c>
      <c r="L92" s="3" t="s">
        <v>726</v>
      </c>
      <c r="M92" s="3" t="s">
        <v>770</v>
      </c>
    </row>
    <row r="93" spans="1:13" ht="56.25" customHeight="1">
      <c r="A93" s="3" t="s">
        <v>698</v>
      </c>
      <c r="B93" s="6">
        <v>3</v>
      </c>
      <c r="C93" s="3" t="s">
        <v>771</v>
      </c>
      <c r="D93" s="3" t="s">
        <v>772</v>
      </c>
      <c r="E93" s="3" t="s">
        <v>751</v>
      </c>
      <c r="F93" s="3" t="s">
        <v>283</v>
      </c>
      <c r="G93" s="3" t="s">
        <v>752</v>
      </c>
      <c r="H93" s="3" t="s">
        <v>240</v>
      </c>
      <c r="I93" s="7" t="s">
        <v>753</v>
      </c>
      <c r="J93" s="3" t="s">
        <v>240</v>
      </c>
      <c r="K93" s="3" t="s">
        <v>754</v>
      </c>
      <c r="L93" s="3" t="s">
        <v>726</v>
      </c>
      <c r="M93" s="3" t="s">
        <v>773</v>
      </c>
    </row>
    <row r="94" spans="1:13" ht="69" customHeight="1">
      <c r="A94" s="3" t="s">
        <v>698</v>
      </c>
      <c r="B94" s="5">
        <v>3</v>
      </c>
      <c r="C94" s="3" t="s">
        <v>728</v>
      </c>
      <c r="D94" s="3" t="s">
        <v>774</v>
      </c>
      <c r="E94" s="3" t="s">
        <v>775</v>
      </c>
      <c r="F94" s="3" t="s">
        <v>776</v>
      </c>
      <c r="G94" s="3" t="s">
        <v>777</v>
      </c>
      <c r="H94" s="3" t="s">
        <v>240</v>
      </c>
      <c r="I94" s="7" t="s">
        <v>778</v>
      </c>
      <c r="J94" s="3" t="s">
        <v>240</v>
      </c>
      <c r="K94" s="3" t="s">
        <v>779</v>
      </c>
      <c r="L94" s="3" t="s">
        <v>780</v>
      </c>
      <c r="M94" s="3" t="s">
        <v>781</v>
      </c>
    </row>
    <row r="95" spans="1:13" ht="56.25" customHeight="1">
      <c r="A95" s="3" t="s">
        <v>698</v>
      </c>
      <c r="B95" s="6">
        <v>3</v>
      </c>
      <c r="C95" s="3" t="s">
        <v>782</v>
      </c>
      <c r="D95" s="3" t="s">
        <v>783</v>
      </c>
      <c r="E95" s="3" t="s">
        <v>751</v>
      </c>
      <c r="F95" s="3" t="s">
        <v>283</v>
      </c>
      <c r="G95" s="3" t="s">
        <v>752</v>
      </c>
      <c r="H95" s="3" t="s">
        <v>240</v>
      </c>
      <c r="I95" s="7" t="s">
        <v>753</v>
      </c>
      <c r="J95" s="3" t="s">
        <v>240</v>
      </c>
      <c r="K95" s="3" t="s">
        <v>754</v>
      </c>
      <c r="L95" s="3" t="s">
        <v>726</v>
      </c>
      <c r="M95" s="3" t="s">
        <v>784</v>
      </c>
    </row>
    <row r="96" spans="1:13" ht="56.25" customHeight="1">
      <c r="A96" s="3" t="s">
        <v>698</v>
      </c>
      <c r="B96" s="6">
        <v>3</v>
      </c>
      <c r="C96" s="3" t="s">
        <v>785</v>
      </c>
      <c r="D96" s="3" t="s">
        <v>786</v>
      </c>
      <c r="E96" s="3" t="s">
        <v>751</v>
      </c>
      <c r="F96" s="3" t="s">
        <v>283</v>
      </c>
      <c r="G96" s="3" t="s">
        <v>752</v>
      </c>
      <c r="H96" s="3" t="s">
        <v>240</v>
      </c>
      <c r="I96" s="7" t="s">
        <v>753</v>
      </c>
      <c r="J96" s="3" t="s">
        <v>240</v>
      </c>
      <c r="K96" s="3" t="s">
        <v>754</v>
      </c>
      <c r="L96" s="3" t="s">
        <v>726</v>
      </c>
      <c r="M96" s="3" t="s">
        <v>787</v>
      </c>
    </row>
    <row r="97" spans="1:13" ht="56.25" customHeight="1">
      <c r="A97" s="3" t="s">
        <v>698</v>
      </c>
      <c r="B97" s="5">
        <v>3</v>
      </c>
      <c r="C97" s="3" t="s">
        <v>788</v>
      </c>
      <c r="D97" s="3" t="s">
        <v>789</v>
      </c>
      <c r="E97" s="3" t="s">
        <v>790</v>
      </c>
      <c r="F97" s="3" t="s">
        <v>791</v>
      </c>
      <c r="G97" s="3" t="s">
        <v>792</v>
      </c>
      <c r="H97" s="3" t="s">
        <v>240</v>
      </c>
      <c r="I97" s="7" t="s">
        <v>793</v>
      </c>
      <c r="J97" s="3" t="s">
        <v>794</v>
      </c>
      <c r="K97" s="3" t="s">
        <v>795</v>
      </c>
      <c r="L97" s="3" t="s">
        <v>796</v>
      </c>
      <c r="M97" s="3" t="s">
        <v>797</v>
      </c>
    </row>
  </sheetData>
  <mergeCells count="1">
    <mergeCell ref="A1:M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5D2A6-8B9B-4B15-A4A4-1C5410F55071}">
  <dimension ref="A1:S99"/>
  <sheetViews>
    <sheetView workbookViewId="0">
      <pane xSplit="2" ySplit="2" topLeftCell="C3" activePane="bottomRight" state="frozen"/>
      <selection pane="bottomRight"/>
      <selection pane="bottomLeft"/>
      <selection pane="topRight"/>
    </sheetView>
  </sheetViews>
  <sheetFormatPr defaultRowHeight="15"/>
  <cols>
    <col min="1" max="1" width="13.7109375" customWidth="1"/>
    <col min="2" max="2" width="30.7109375" customWidth="1"/>
    <col min="3" max="3" width="40.7109375" customWidth="1"/>
    <col min="4" max="4" width="48.7109375" customWidth="1"/>
    <col min="5" max="6" width="30.7109375" customWidth="1"/>
    <col min="7" max="7" width="55.7109375" customWidth="1"/>
    <col min="8" max="8" width="40.7109375" customWidth="1"/>
    <col min="9" max="9" width="36.7109375" customWidth="1"/>
    <col min="10" max="11" width="11.7109375" customWidth="1"/>
    <col min="12" max="12" width="13.7109375" customWidth="1"/>
    <col min="13" max="13" width="10.7109375" customWidth="1"/>
    <col min="14" max="14" width="11.7109375" customWidth="1"/>
    <col min="15" max="16" width="10.7109375" customWidth="1"/>
    <col min="17" max="17" width="9.7109375" customWidth="1"/>
    <col min="18" max="18" width="10.7109375" customWidth="1"/>
    <col min="19" max="19" width="60.7109375" customWidth="1"/>
  </cols>
  <sheetData>
    <row r="1" spans="1:19" ht="24" customHeight="1">
      <c r="A1" s="1" t="s">
        <v>798</v>
      </c>
      <c r="B1" s="1"/>
      <c r="C1" s="1"/>
      <c r="D1" s="1"/>
      <c r="E1" s="1"/>
      <c r="F1" s="1"/>
      <c r="G1" s="1"/>
      <c r="H1" s="1"/>
      <c r="I1" s="1"/>
      <c r="J1" s="1"/>
      <c r="K1" s="1"/>
      <c r="L1" s="1"/>
      <c r="M1" s="1"/>
      <c r="N1" s="1"/>
      <c r="O1" s="1"/>
      <c r="P1" s="1"/>
      <c r="Q1" s="1"/>
      <c r="R1" s="1"/>
      <c r="S1" s="1"/>
    </row>
    <row r="2" spans="1:19" ht="51" customHeight="1">
      <c r="A2" s="2" t="s">
        <v>175</v>
      </c>
      <c r="B2" s="2" t="s">
        <v>799</v>
      </c>
      <c r="C2" s="2" t="s">
        <v>800</v>
      </c>
      <c r="D2" s="2" t="s">
        <v>801</v>
      </c>
      <c r="E2" s="2" t="s">
        <v>802</v>
      </c>
      <c r="F2" s="2" t="s">
        <v>803</v>
      </c>
      <c r="G2" s="2" t="s">
        <v>804</v>
      </c>
      <c r="H2" s="2" t="s">
        <v>805</v>
      </c>
      <c r="I2" s="2" t="s">
        <v>82</v>
      </c>
      <c r="J2" s="2" t="s">
        <v>806</v>
      </c>
      <c r="K2" s="2" t="s">
        <v>807</v>
      </c>
      <c r="L2" s="2" t="s">
        <v>808</v>
      </c>
      <c r="M2" s="2" t="s">
        <v>809</v>
      </c>
      <c r="N2" s="2" t="s">
        <v>810</v>
      </c>
      <c r="O2" s="2" t="s">
        <v>811</v>
      </c>
      <c r="P2" s="2" t="s">
        <v>812</v>
      </c>
      <c r="Q2" s="2" t="s">
        <v>813</v>
      </c>
      <c r="R2" s="2" t="s">
        <v>814</v>
      </c>
      <c r="S2" s="2" t="s">
        <v>815</v>
      </c>
    </row>
    <row r="3" spans="1:19" ht="95.25" customHeight="1">
      <c r="A3" s="3" t="s">
        <v>183</v>
      </c>
      <c r="B3" s="3" t="s">
        <v>816</v>
      </c>
      <c r="C3" s="3" t="s">
        <v>817</v>
      </c>
      <c r="D3" s="3" t="s">
        <v>818</v>
      </c>
      <c r="E3" s="7" t="s">
        <v>819</v>
      </c>
      <c r="F3" s="3" t="s">
        <v>820</v>
      </c>
      <c r="G3" s="7" t="s">
        <v>821</v>
      </c>
      <c r="H3" s="3" t="s">
        <v>822</v>
      </c>
      <c r="I3" s="3" t="s">
        <v>823</v>
      </c>
      <c r="J3" s="5">
        <f>IF(R3&gt;=24,1,IF(R3&gt;=12,2,3))</f>
        <v>2</v>
      </c>
      <c r="K3" s="8">
        <v>3</v>
      </c>
      <c r="L3" s="8">
        <v>1</v>
      </c>
      <c r="M3" s="8">
        <v>1</v>
      </c>
      <c r="N3" s="8">
        <v>3</v>
      </c>
      <c r="O3" s="8">
        <v>3</v>
      </c>
      <c r="P3" s="8">
        <v>1</v>
      </c>
      <c r="Q3" s="8">
        <v>0</v>
      </c>
      <c r="R3" s="5">
        <f>SUM(K3:Q3)</f>
        <v>12</v>
      </c>
      <c r="S3" s="3" t="s">
        <v>824</v>
      </c>
    </row>
    <row r="4" spans="1:19" ht="56.25" customHeight="1">
      <c r="A4" s="3" t="s">
        <v>183</v>
      </c>
      <c r="B4" s="3" t="s">
        <v>825</v>
      </c>
      <c r="C4" s="3" t="s">
        <v>826</v>
      </c>
      <c r="D4" s="7" t="s">
        <v>827</v>
      </c>
      <c r="E4" s="7" t="s">
        <v>828</v>
      </c>
      <c r="F4" s="3" t="s">
        <v>829</v>
      </c>
      <c r="G4" s="7" t="s">
        <v>830</v>
      </c>
      <c r="H4" s="3" t="s">
        <v>831</v>
      </c>
      <c r="I4" s="3" t="s">
        <v>832</v>
      </c>
      <c r="J4" s="5">
        <f>IF(R4&gt;=24,1,IF(R4&gt;=12,2,3))</f>
        <v>2</v>
      </c>
      <c r="K4" s="8">
        <v>1</v>
      </c>
      <c r="L4" s="8">
        <v>5</v>
      </c>
      <c r="M4" s="8">
        <v>5</v>
      </c>
      <c r="N4" s="8">
        <v>5</v>
      </c>
      <c r="O4" s="8">
        <v>5</v>
      </c>
      <c r="P4" s="8">
        <v>1</v>
      </c>
      <c r="Q4" s="8">
        <v>0</v>
      </c>
      <c r="R4" s="5">
        <f>SUM(K4:Q4)</f>
        <v>22</v>
      </c>
      <c r="S4" s="3" t="s">
        <v>833</v>
      </c>
    </row>
    <row r="5" spans="1:19" ht="69" customHeight="1">
      <c r="A5" s="3" t="s">
        <v>183</v>
      </c>
      <c r="B5" s="3" t="s">
        <v>834</v>
      </c>
      <c r="C5" s="3" t="s">
        <v>835</v>
      </c>
      <c r="D5" s="3" t="s">
        <v>836</v>
      </c>
      <c r="E5" s="7" t="s">
        <v>240</v>
      </c>
      <c r="F5" s="3" t="s">
        <v>837</v>
      </c>
      <c r="G5" s="7" t="s">
        <v>838</v>
      </c>
      <c r="H5" s="3" t="s">
        <v>822</v>
      </c>
      <c r="I5" s="3" t="s">
        <v>839</v>
      </c>
      <c r="J5" s="5">
        <f>IF(R5&gt;=24,1,IF(R5&gt;=12,2,3))</f>
        <v>2</v>
      </c>
      <c r="K5" s="8">
        <v>1</v>
      </c>
      <c r="L5" s="8">
        <v>1</v>
      </c>
      <c r="M5" s="8">
        <v>5</v>
      </c>
      <c r="N5" s="8">
        <v>3</v>
      </c>
      <c r="O5" s="8">
        <v>1</v>
      </c>
      <c r="P5" s="8">
        <v>1</v>
      </c>
      <c r="Q5" s="8">
        <v>0</v>
      </c>
      <c r="R5" s="5">
        <f>SUM(K5:Q5)</f>
        <v>12</v>
      </c>
      <c r="S5" s="3" t="s">
        <v>840</v>
      </c>
    </row>
    <row r="6" spans="1:19" ht="56.25" customHeight="1">
      <c r="A6" s="3" t="s">
        <v>183</v>
      </c>
      <c r="B6" s="3" t="s">
        <v>841</v>
      </c>
      <c r="C6" s="3" t="s">
        <v>842</v>
      </c>
      <c r="D6" s="3" t="s">
        <v>843</v>
      </c>
      <c r="E6" s="7" t="s">
        <v>828</v>
      </c>
      <c r="F6" s="3" t="s">
        <v>820</v>
      </c>
      <c r="G6" s="7" t="s">
        <v>844</v>
      </c>
      <c r="H6" s="3" t="s">
        <v>845</v>
      </c>
      <c r="I6" s="3" t="s">
        <v>846</v>
      </c>
      <c r="J6" s="5">
        <f>IF(R6&gt;=24,1,IF(R6&gt;=12,2,3))</f>
        <v>2</v>
      </c>
      <c r="K6" s="8">
        <v>1</v>
      </c>
      <c r="L6" s="8">
        <v>1</v>
      </c>
      <c r="M6" s="8">
        <v>1</v>
      </c>
      <c r="N6" s="8">
        <v>5</v>
      </c>
      <c r="O6" s="8">
        <v>5</v>
      </c>
      <c r="P6" s="8">
        <v>1</v>
      </c>
      <c r="Q6" s="8">
        <v>0</v>
      </c>
      <c r="R6" s="5">
        <f>SUM(K6:Q6)</f>
        <v>14</v>
      </c>
      <c r="S6" s="3" t="s">
        <v>847</v>
      </c>
    </row>
    <row r="7" spans="1:19" ht="69" customHeight="1">
      <c r="A7" s="3" t="s">
        <v>183</v>
      </c>
      <c r="B7" s="3" t="s">
        <v>848</v>
      </c>
      <c r="C7" s="3" t="s">
        <v>849</v>
      </c>
      <c r="D7" s="3" t="s">
        <v>850</v>
      </c>
      <c r="E7" s="7" t="s">
        <v>240</v>
      </c>
      <c r="F7" s="3" t="s">
        <v>851</v>
      </c>
      <c r="G7" s="7" t="s">
        <v>852</v>
      </c>
      <c r="H7" s="3" t="s">
        <v>822</v>
      </c>
      <c r="I7" s="3" t="s">
        <v>853</v>
      </c>
      <c r="J7" s="5">
        <f>IF(R7&gt;=24,1,IF(R7&gt;=12,2,3))</f>
        <v>2</v>
      </c>
      <c r="K7" s="8">
        <v>1</v>
      </c>
      <c r="L7" s="8">
        <v>1</v>
      </c>
      <c r="M7" s="8">
        <v>3</v>
      </c>
      <c r="N7" s="8">
        <v>5</v>
      </c>
      <c r="O7" s="8">
        <v>3</v>
      </c>
      <c r="P7" s="8">
        <v>1</v>
      </c>
      <c r="Q7" s="8">
        <v>0</v>
      </c>
      <c r="R7" s="5">
        <f>SUM(K7:Q7)</f>
        <v>14</v>
      </c>
      <c r="S7" s="3" t="s">
        <v>854</v>
      </c>
    </row>
    <row r="8" spans="1:19" ht="30" customHeight="1">
      <c r="A8" s="3" t="s">
        <v>183</v>
      </c>
      <c r="B8" s="3" t="s">
        <v>247</v>
      </c>
      <c r="C8" s="3" t="s">
        <v>855</v>
      </c>
      <c r="D8" s="3" t="s">
        <v>856</v>
      </c>
      <c r="E8" s="7" t="s">
        <v>240</v>
      </c>
      <c r="F8" s="3" t="s">
        <v>820</v>
      </c>
      <c r="G8" s="7" t="s">
        <v>857</v>
      </c>
      <c r="H8" s="3" t="s">
        <v>822</v>
      </c>
      <c r="I8" s="3" t="s">
        <v>858</v>
      </c>
      <c r="J8" s="5">
        <f>IF(R8&gt;=24,1,IF(R8&gt;=12,2,3))</f>
        <v>2</v>
      </c>
      <c r="K8" s="8">
        <v>1</v>
      </c>
      <c r="L8" s="8">
        <v>1</v>
      </c>
      <c r="M8" s="8">
        <v>1</v>
      </c>
      <c r="N8" s="8">
        <v>5</v>
      </c>
      <c r="O8" s="8">
        <v>3</v>
      </c>
      <c r="P8" s="8">
        <v>1</v>
      </c>
      <c r="Q8" s="8">
        <v>0</v>
      </c>
      <c r="R8" s="5">
        <f>SUM(K8:Q8)</f>
        <v>12</v>
      </c>
      <c r="S8" s="3" t="s">
        <v>859</v>
      </c>
    </row>
    <row r="9" spans="1:19" ht="69" customHeight="1">
      <c r="A9" s="3" t="s">
        <v>183</v>
      </c>
      <c r="B9" s="3" t="s">
        <v>860</v>
      </c>
      <c r="C9" s="3" t="s">
        <v>861</v>
      </c>
      <c r="D9" s="3" t="s">
        <v>862</v>
      </c>
      <c r="E9" s="7" t="s">
        <v>863</v>
      </c>
      <c r="F9" s="3" t="s">
        <v>820</v>
      </c>
      <c r="G9" s="7" t="s">
        <v>864</v>
      </c>
      <c r="H9" s="3" t="s">
        <v>822</v>
      </c>
      <c r="I9" s="3" t="s">
        <v>865</v>
      </c>
      <c r="J9" s="5">
        <f>IF(R9&gt;=24,1,IF(R9&gt;=12,2,3))</f>
        <v>3</v>
      </c>
      <c r="K9" s="8">
        <v>1</v>
      </c>
      <c r="L9" s="8">
        <v>1</v>
      </c>
      <c r="M9" s="8">
        <v>1</v>
      </c>
      <c r="N9" s="8">
        <v>1</v>
      </c>
      <c r="O9" s="8">
        <v>3</v>
      </c>
      <c r="P9" s="8">
        <v>1</v>
      </c>
      <c r="Q9" s="8">
        <v>0</v>
      </c>
      <c r="R9" s="5">
        <f>SUM(K9:Q9)</f>
        <v>8</v>
      </c>
      <c r="S9" s="3" t="s">
        <v>866</v>
      </c>
    </row>
    <row r="10" spans="1:19" ht="56.25" customHeight="1">
      <c r="A10" s="3" t="s">
        <v>183</v>
      </c>
      <c r="B10" s="3" t="s">
        <v>867</v>
      </c>
      <c r="C10" s="3" t="s">
        <v>868</v>
      </c>
      <c r="D10" s="3" t="s">
        <v>869</v>
      </c>
      <c r="E10" s="7" t="s">
        <v>230</v>
      </c>
      <c r="F10" s="3" t="s">
        <v>820</v>
      </c>
      <c r="G10" s="7" t="s">
        <v>870</v>
      </c>
      <c r="H10" s="3" t="s">
        <v>822</v>
      </c>
      <c r="I10" s="3" t="s">
        <v>871</v>
      </c>
      <c r="J10" s="5">
        <f>IF(R10&gt;=24,1,IF(R10&gt;=12,2,3))</f>
        <v>3</v>
      </c>
      <c r="K10" s="8">
        <v>1</v>
      </c>
      <c r="L10" s="8">
        <v>1</v>
      </c>
      <c r="M10" s="8">
        <v>1</v>
      </c>
      <c r="N10" s="8">
        <v>3</v>
      </c>
      <c r="O10" s="8">
        <v>3</v>
      </c>
      <c r="P10" s="8">
        <v>1</v>
      </c>
      <c r="Q10" s="8">
        <v>0</v>
      </c>
      <c r="R10" s="5">
        <f>SUM(K10:Q10)</f>
        <v>10</v>
      </c>
      <c r="S10" s="3" t="s">
        <v>872</v>
      </c>
    </row>
    <row r="11" spans="1:19" ht="81.75" customHeight="1">
      <c r="A11" s="3" t="s">
        <v>183</v>
      </c>
      <c r="B11" s="3" t="s">
        <v>873</v>
      </c>
      <c r="C11" s="3" t="s">
        <v>874</v>
      </c>
      <c r="D11" s="7" t="s">
        <v>875</v>
      </c>
      <c r="E11" s="7" t="s">
        <v>876</v>
      </c>
      <c r="F11" s="3" t="s">
        <v>820</v>
      </c>
      <c r="G11" s="7" t="s">
        <v>877</v>
      </c>
      <c r="H11" s="3" t="s">
        <v>822</v>
      </c>
      <c r="I11" s="3" t="s">
        <v>878</v>
      </c>
      <c r="J11" s="5">
        <f>IF(R11&gt;=24,1,IF(R11&gt;=12,2,3))</f>
        <v>3</v>
      </c>
      <c r="K11" s="8">
        <v>1</v>
      </c>
      <c r="L11" s="8">
        <v>1</v>
      </c>
      <c r="M11" s="8">
        <v>1</v>
      </c>
      <c r="N11" s="8">
        <v>3</v>
      </c>
      <c r="O11" s="8">
        <v>3</v>
      </c>
      <c r="P11" s="8">
        <v>1</v>
      </c>
      <c r="Q11" s="8">
        <v>0</v>
      </c>
      <c r="R11" s="5">
        <f>SUM(K11:Q11)</f>
        <v>10</v>
      </c>
      <c r="S11" s="3" t="s">
        <v>879</v>
      </c>
    </row>
    <row r="12" spans="1:19" ht="30" customHeight="1">
      <c r="A12" s="3" t="s">
        <v>183</v>
      </c>
      <c r="B12" s="3" t="s">
        <v>880</v>
      </c>
      <c r="C12" s="3" t="s">
        <v>881</v>
      </c>
      <c r="D12" s="3" t="s">
        <v>882</v>
      </c>
      <c r="E12" s="7" t="s">
        <v>240</v>
      </c>
      <c r="F12" s="3" t="s">
        <v>820</v>
      </c>
      <c r="G12" s="7" t="s">
        <v>883</v>
      </c>
      <c r="H12" s="3" t="s">
        <v>822</v>
      </c>
      <c r="I12" s="3" t="s">
        <v>884</v>
      </c>
      <c r="J12" s="5">
        <f>IF(R12&gt;=24,1,IF(R12&gt;=12,2,3))</f>
        <v>3</v>
      </c>
      <c r="K12" s="8">
        <v>1</v>
      </c>
      <c r="L12" s="8">
        <v>1</v>
      </c>
      <c r="M12" s="8">
        <v>1</v>
      </c>
      <c r="N12" s="8">
        <v>1</v>
      </c>
      <c r="O12" s="8">
        <v>1</v>
      </c>
      <c r="P12" s="8">
        <v>1</v>
      </c>
      <c r="Q12" s="8">
        <v>0</v>
      </c>
      <c r="R12" s="5">
        <f>SUM(K12:Q12)</f>
        <v>6</v>
      </c>
      <c r="S12" s="3" t="s">
        <v>885</v>
      </c>
    </row>
    <row r="13" spans="1:19" ht="30" customHeight="1">
      <c r="A13" s="3" t="s">
        <v>183</v>
      </c>
      <c r="B13" s="3" t="s">
        <v>886</v>
      </c>
      <c r="C13" s="3" t="s">
        <v>887</v>
      </c>
      <c r="D13" s="3" t="s">
        <v>882</v>
      </c>
      <c r="E13" s="7" t="s">
        <v>240</v>
      </c>
      <c r="F13" s="3" t="s">
        <v>820</v>
      </c>
      <c r="G13" s="7" t="s">
        <v>883</v>
      </c>
      <c r="H13" s="3" t="s">
        <v>822</v>
      </c>
      <c r="I13" s="3" t="s">
        <v>884</v>
      </c>
      <c r="J13" s="5">
        <f>IF(R13&gt;=24,1,IF(R13&gt;=12,2,3))</f>
        <v>3</v>
      </c>
      <c r="K13" s="8">
        <v>1</v>
      </c>
      <c r="L13" s="8">
        <v>1</v>
      </c>
      <c r="M13" s="8">
        <v>1</v>
      </c>
      <c r="N13" s="8">
        <v>1</v>
      </c>
      <c r="O13" s="8">
        <v>1</v>
      </c>
      <c r="P13" s="8">
        <v>1</v>
      </c>
      <c r="Q13" s="8">
        <v>0</v>
      </c>
      <c r="R13" s="5">
        <f>SUM(K13:Q13)</f>
        <v>6</v>
      </c>
      <c r="S13" s="3" t="s">
        <v>885</v>
      </c>
    </row>
    <row r="14" spans="1:19" ht="56.25" customHeight="1">
      <c r="A14" s="3" t="s">
        <v>183</v>
      </c>
      <c r="B14" s="3" t="s">
        <v>888</v>
      </c>
      <c r="C14" s="3" t="s">
        <v>889</v>
      </c>
      <c r="D14" s="7" t="s">
        <v>890</v>
      </c>
      <c r="E14" s="7" t="s">
        <v>230</v>
      </c>
      <c r="F14" s="3" t="s">
        <v>820</v>
      </c>
      <c r="G14" s="7" t="s">
        <v>891</v>
      </c>
      <c r="H14" s="3" t="s">
        <v>822</v>
      </c>
      <c r="I14" s="3" t="s">
        <v>892</v>
      </c>
      <c r="J14" s="5">
        <f>IF(R14&gt;=24,1,IF(R14&gt;=12,2,3))</f>
        <v>3</v>
      </c>
      <c r="K14" s="8">
        <v>1</v>
      </c>
      <c r="L14" s="8">
        <v>1</v>
      </c>
      <c r="M14" s="8">
        <v>1</v>
      </c>
      <c r="N14" s="8">
        <v>3</v>
      </c>
      <c r="O14" s="8">
        <v>3</v>
      </c>
      <c r="P14" s="8">
        <v>1</v>
      </c>
      <c r="Q14" s="8">
        <v>0</v>
      </c>
      <c r="R14" s="5">
        <f>SUM(K14:Q14)</f>
        <v>10</v>
      </c>
      <c r="S14" s="3" t="s">
        <v>893</v>
      </c>
    </row>
    <row r="15" spans="1:19" ht="30" customHeight="1">
      <c r="A15" s="3" t="s">
        <v>183</v>
      </c>
      <c r="B15" s="3" t="s">
        <v>894</v>
      </c>
      <c r="C15" s="3" t="s">
        <v>895</v>
      </c>
      <c r="D15" s="3" t="s">
        <v>882</v>
      </c>
      <c r="E15" s="7" t="s">
        <v>240</v>
      </c>
      <c r="F15" s="3" t="s">
        <v>820</v>
      </c>
      <c r="G15" s="7" t="s">
        <v>883</v>
      </c>
      <c r="H15" s="3" t="s">
        <v>822</v>
      </c>
      <c r="I15" s="3" t="s">
        <v>884</v>
      </c>
      <c r="J15" s="5">
        <f>IF(R15&gt;=24,1,IF(R15&gt;=12,2,3))</f>
        <v>3</v>
      </c>
      <c r="K15" s="8">
        <v>1</v>
      </c>
      <c r="L15" s="8">
        <v>1</v>
      </c>
      <c r="M15" s="8">
        <v>1</v>
      </c>
      <c r="N15" s="8">
        <v>1</v>
      </c>
      <c r="O15" s="8">
        <v>1</v>
      </c>
      <c r="P15" s="8">
        <v>1</v>
      </c>
      <c r="Q15" s="8">
        <v>0</v>
      </c>
      <c r="R15" s="5">
        <f>SUM(K15:Q15)</f>
        <v>6</v>
      </c>
      <c r="S15" s="3" t="s">
        <v>885</v>
      </c>
    </row>
    <row r="16" spans="1:19" ht="30" customHeight="1">
      <c r="A16" s="3" t="s">
        <v>183</v>
      </c>
      <c r="B16" s="3" t="s">
        <v>896</v>
      </c>
      <c r="C16" s="7" t="s">
        <v>897</v>
      </c>
      <c r="D16" s="3" t="s">
        <v>898</v>
      </c>
      <c r="E16" s="7" t="s">
        <v>899</v>
      </c>
      <c r="F16" s="3" t="s">
        <v>820</v>
      </c>
      <c r="G16" s="7" t="s">
        <v>900</v>
      </c>
      <c r="H16" s="3" t="s">
        <v>822</v>
      </c>
      <c r="I16" s="3" t="s">
        <v>901</v>
      </c>
      <c r="J16" s="5">
        <f>IF(R16&gt;=24,1,IF(R16&gt;=12,2,3))</f>
        <v>3</v>
      </c>
      <c r="K16" s="8">
        <v>1</v>
      </c>
      <c r="L16" s="8">
        <v>1</v>
      </c>
      <c r="M16" s="8">
        <v>1</v>
      </c>
      <c r="N16" s="8">
        <v>1</v>
      </c>
      <c r="O16" s="8">
        <v>1</v>
      </c>
      <c r="P16" s="8">
        <v>1</v>
      </c>
      <c r="Q16" s="8">
        <v>0</v>
      </c>
      <c r="R16" s="5">
        <f>SUM(K16:Q16)</f>
        <v>6</v>
      </c>
      <c r="S16" s="3" t="s">
        <v>902</v>
      </c>
    </row>
    <row r="17" spans="1:19" ht="30" customHeight="1">
      <c r="A17" s="3" t="s">
        <v>183</v>
      </c>
      <c r="B17" s="3" t="s">
        <v>238</v>
      </c>
      <c r="C17" s="3" t="s">
        <v>903</v>
      </c>
      <c r="D17" s="3" t="s">
        <v>904</v>
      </c>
      <c r="E17" s="7" t="s">
        <v>240</v>
      </c>
      <c r="F17" s="3" t="s">
        <v>820</v>
      </c>
      <c r="G17" s="7" t="s">
        <v>883</v>
      </c>
      <c r="H17" s="3" t="s">
        <v>822</v>
      </c>
      <c r="I17" s="3" t="s">
        <v>884</v>
      </c>
      <c r="J17" s="5">
        <f>IF(R17&gt;=24,1,IF(R17&gt;=12,2,3))</f>
        <v>3</v>
      </c>
      <c r="K17" s="8">
        <v>1</v>
      </c>
      <c r="L17" s="8">
        <v>1</v>
      </c>
      <c r="M17" s="8">
        <v>1</v>
      </c>
      <c r="N17" s="8">
        <v>3</v>
      </c>
      <c r="O17" s="8">
        <v>3</v>
      </c>
      <c r="P17" s="8">
        <v>1</v>
      </c>
      <c r="Q17" s="8">
        <v>0</v>
      </c>
      <c r="R17" s="5">
        <f>SUM(K17:Q17)</f>
        <v>10</v>
      </c>
      <c r="S17" s="3" t="s">
        <v>905</v>
      </c>
    </row>
    <row r="18" spans="1:19" ht="42.75" customHeight="1">
      <c r="A18" s="3" t="s">
        <v>183</v>
      </c>
      <c r="B18" s="3" t="s">
        <v>263</v>
      </c>
      <c r="C18" s="3" t="s">
        <v>906</v>
      </c>
      <c r="D18" s="3" t="s">
        <v>907</v>
      </c>
      <c r="E18" s="7" t="s">
        <v>240</v>
      </c>
      <c r="F18" s="3" t="s">
        <v>820</v>
      </c>
      <c r="G18" s="7" t="s">
        <v>257</v>
      </c>
      <c r="H18" s="3" t="s">
        <v>822</v>
      </c>
      <c r="I18" s="3" t="s">
        <v>884</v>
      </c>
      <c r="J18" s="5">
        <f>IF(R18&gt;=24,1,IF(R18&gt;=12,2,3))</f>
        <v>3</v>
      </c>
      <c r="K18" s="8">
        <v>1</v>
      </c>
      <c r="L18" s="8">
        <v>1</v>
      </c>
      <c r="M18" s="8">
        <v>1</v>
      </c>
      <c r="N18" s="8">
        <v>1</v>
      </c>
      <c r="O18" s="8">
        <v>3</v>
      </c>
      <c r="P18" s="8">
        <v>1</v>
      </c>
      <c r="Q18" s="8">
        <v>0</v>
      </c>
      <c r="R18" s="5">
        <f>SUM(K18:Q18)</f>
        <v>8</v>
      </c>
      <c r="S18" s="3" t="s">
        <v>908</v>
      </c>
    </row>
    <row r="19" spans="1:19" ht="42.75" customHeight="1">
      <c r="A19" s="3" t="s">
        <v>183</v>
      </c>
      <c r="B19" s="3" t="s">
        <v>270</v>
      </c>
      <c r="C19" s="3" t="s">
        <v>268</v>
      </c>
      <c r="D19" s="3" t="s">
        <v>909</v>
      </c>
      <c r="E19" s="7" t="s">
        <v>240</v>
      </c>
      <c r="F19" s="3" t="s">
        <v>820</v>
      </c>
      <c r="G19" s="7" t="s">
        <v>910</v>
      </c>
      <c r="H19" s="3" t="s">
        <v>822</v>
      </c>
      <c r="I19" s="3" t="s">
        <v>884</v>
      </c>
      <c r="J19" s="5">
        <f>IF(R19&gt;=24,1,IF(R19&gt;=12,2,3))</f>
        <v>3</v>
      </c>
      <c r="K19" s="8">
        <v>1</v>
      </c>
      <c r="L19" s="8">
        <v>1</v>
      </c>
      <c r="M19" s="8">
        <v>1</v>
      </c>
      <c r="N19" s="8">
        <v>1</v>
      </c>
      <c r="O19" s="8">
        <v>3</v>
      </c>
      <c r="P19" s="8">
        <v>1</v>
      </c>
      <c r="Q19" s="8">
        <v>0</v>
      </c>
      <c r="R19" s="5">
        <f>SUM(K19:Q19)</f>
        <v>8</v>
      </c>
      <c r="S19" s="3" t="s">
        <v>908</v>
      </c>
    </row>
    <row r="20" spans="1:19" ht="42.75" customHeight="1">
      <c r="A20" s="3" t="s">
        <v>183</v>
      </c>
      <c r="B20" s="3" t="s">
        <v>255</v>
      </c>
      <c r="C20" s="7" t="s">
        <v>911</v>
      </c>
      <c r="D20" s="3" t="s">
        <v>912</v>
      </c>
      <c r="E20" s="7" t="s">
        <v>899</v>
      </c>
      <c r="F20" s="3" t="s">
        <v>820</v>
      </c>
      <c r="G20" s="7" t="s">
        <v>900</v>
      </c>
      <c r="H20" s="3" t="s">
        <v>822</v>
      </c>
      <c r="I20" s="3" t="s">
        <v>913</v>
      </c>
      <c r="J20" s="5">
        <f>IF(R20&gt;=24,1,IF(R20&gt;=12,2,3))</f>
        <v>3</v>
      </c>
      <c r="K20" s="8">
        <v>1</v>
      </c>
      <c r="L20" s="8">
        <v>1</v>
      </c>
      <c r="M20" s="8">
        <v>1</v>
      </c>
      <c r="N20" s="8">
        <v>1</v>
      </c>
      <c r="O20" s="8">
        <v>3</v>
      </c>
      <c r="P20" s="8">
        <v>1</v>
      </c>
      <c r="Q20" s="8">
        <v>0</v>
      </c>
      <c r="R20" s="5">
        <f>SUM(K20:Q20)</f>
        <v>8</v>
      </c>
      <c r="S20" s="3" t="s">
        <v>914</v>
      </c>
    </row>
    <row r="21" spans="1:19" ht="42.75" customHeight="1">
      <c r="A21" s="3" t="s">
        <v>183</v>
      </c>
      <c r="B21" s="3" t="s">
        <v>276</v>
      </c>
      <c r="C21" s="7" t="s">
        <v>915</v>
      </c>
      <c r="D21" s="3" t="s">
        <v>916</v>
      </c>
      <c r="E21" s="7" t="s">
        <v>240</v>
      </c>
      <c r="F21" s="3" t="s">
        <v>820</v>
      </c>
      <c r="G21" s="7" t="s">
        <v>917</v>
      </c>
      <c r="H21" s="3" t="s">
        <v>822</v>
      </c>
      <c r="I21" s="3" t="s">
        <v>918</v>
      </c>
      <c r="J21" s="5">
        <f>IF(R21&gt;=24,1,IF(R21&gt;=12,2,3))</f>
        <v>3</v>
      </c>
      <c r="K21" s="8">
        <v>1</v>
      </c>
      <c r="L21" s="8">
        <v>1</v>
      </c>
      <c r="M21" s="8">
        <v>1</v>
      </c>
      <c r="N21" s="8">
        <v>1</v>
      </c>
      <c r="O21" s="8">
        <v>1</v>
      </c>
      <c r="P21" s="8">
        <v>1</v>
      </c>
      <c r="Q21" s="8">
        <v>0</v>
      </c>
      <c r="R21" s="5">
        <f>SUM(K21:Q21)</f>
        <v>6</v>
      </c>
      <c r="S21" s="3" t="s">
        <v>919</v>
      </c>
    </row>
    <row r="22" spans="1:19" ht="120.75" customHeight="1">
      <c r="A22" s="3" t="s">
        <v>303</v>
      </c>
      <c r="B22" s="3" t="s">
        <v>920</v>
      </c>
      <c r="C22" s="3" t="s">
        <v>921</v>
      </c>
      <c r="D22" s="3" t="s">
        <v>922</v>
      </c>
      <c r="E22" s="3" t="s">
        <v>923</v>
      </c>
      <c r="F22" s="3" t="s">
        <v>924</v>
      </c>
      <c r="G22" s="3" t="s">
        <v>925</v>
      </c>
      <c r="H22" s="3" t="s">
        <v>926</v>
      </c>
      <c r="I22" s="3" t="s">
        <v>927</v>
      </c>
      <c r="J22" s="5">
        <f>IF(R22&gt;=24,1,IF(R22&gt;=12,2,3))</f>
        <v>2</v>
      </c>
      <c r="K22" s="8">
        <v>1</v>
      </c>
      <c r="L22" s="8">
        <v>1</v>
      </c>
      <c r="M22" s="8">
        <v>3</v>
      </c>
      <c r="N22" s="8">
        <v>3</v>
      </c>
      <c r="O22" s="8">
        <v>3</v>
      </c>
      <c r="P22" s="8">
        <v>1</v>
      </c>
      <c r="Q22" s="8">
        <v>0</v>
      </c>
      <c r="R22" s="5">
        <f>SUM(K22:Q22)</f>
        <v>12</v>
      </c>
      <c r="S22" s="3" t="s">
        <v>928</v>
      </c>
    </row>
    <row r="23" spans="1:19" ht="81.75" customHeight="1">
      <c r="A23" s="3" t="s">
        <v>303</v>
      </c>
      <c r="B23" s="3" t="s">
        <v>929</v>
      </c>
      <c r="C23" s="3" t="s">
        <v>930</v>
      </c>
      <c r="D23" s="3" t="s">
        <v>931</v>
      </c>
      <c r="E23" s="3" t="s">
        <v>240</v>
      </c>
      <c r="F23" s="3" t="s">
        <v>932</v>
      </c>
      <c r="G23" s="3" t="s">
        <v>933</v>
      </c>
      <c r="H23" s="3" t="s">
        <v>934</v>
      </c>
      <c r="I23" s="3" t="s">
        <v>935</v>
      </c>
      <c r="J23" s="5">
        <f>IF(R23&gt;=24,1,IF(R23&gt;=12,2,3))</f>
        <v>2</v>
      </c>
      <c r="K23" s="8">
        <v>1</v>
      </c>
      <c r="L23" s="9">
        <v>1</v>
      </c>
      <c r="M23" s="8">
        <v>1</v>
      </c>
      <c r="N23" s="8">
        <v>5</v>
      </c>
      <c r="O23" s="8">
        <v>1</v>
      </c>
      <c r="P23" s="9">
        <v>3</v>
      </c>
      <c r="Q23" s="8">
        <v>1</v>
      </c>
      <c r="R23" s="5">
        <f>SUM(K23:Q23)</f>
        <v>13</v>
      </c>
      <c r="S23" s="3" t="s">
        <v>936</v>
      </c>
    </row>
    <row r="24" spans="1:19" ht="108" customHeight="1">
      <c r="A24" s="3" t="s">
        <v>303</v>
      </c>
      <c r="B24" s="3" t="s">
        <v>937</v>
      </c>
      <c r="C24" s="3" t="s">
        <v>938</v>
      </c>
      <c r="D24" s="3" t="s">
        <v>939</v>
      </c>
      <c r="E24" s="3" t="s">
        <v>940</v>
      </c>
      <c r="F24" s="3" t="s">
        <v>941</v>
      </c>
      <c r="G24" s="3" t="s">
        <v>942</v>
      </c>
      <c r="H24" s="3" t="s">
        <v>943</v>
      </c>
      <c r="I24" s="3" t="s">
        <v>944</v>
      </c>
      <c r="J24" s="5">
        <f>IF(R24&gt;=24,1,IF(R24&gt;=12,2,3))</f>
        <v>2</v>
      </c>
      <c r="K24" s="8">
        <v>1</v>
      </c>
      <c r="L24" s="8">
        <v>1</v>
      </c>
      <c r="M24" s="8">
        <v>3</v>
      </c>
      <c r="N24" s="8">
        <v>3</v>
      </c>
      <c r="O24" s="8">
        <v>3</v>
      </c>
      <c r="P24" s="8">
        <v>1</v>
      </c>
      <c r="Q24" s="8">
        <v>0</v>
      </c>
      <c r="R24" s="5">
        <f>SUM(K24:Q24)</f>
        <v>12</v>
      </c>
      <c r="S24" s="3" t="s">
        <v>945</v>
      </c>
    </row>
    <row r="25" spans="1:19" ht="108" customHeight="1">
      <c r="A25" s="3" t="s">
        <v>303</v>
      </c>
      <c r="B25" s="3" t="s">
        <v>946</v>
      </c>
      <c r="C25" s="3" t="s">
        <v>947</v>
      </c>
      <c r="D25" s="3" t="s">
        <v>948</v>
      </c>
      <c r="E25" s="3" t="s">
        <v>940</v>
      </c>
      <c r="F25" s="3" t="s">
        <v>240</v>
      </c>
      <c r="G25" s="3" t="s">
        <v>353</v>
      </c>
      <c r="H25" s="3" t="s">
        <v>943</v>
      </c>
      <c r="I25" s="3" t="s">
        <v>949</v>
      </c>
      <c r="J25" s="5">
        <f>IF(R25&gt;=24,1,IF(R25&gt;=12,2,3))</f>
        <v>2</v>
      </c>
      <c r="K25" s="8">
        <v>1</v>
      </c>
      <c r="L25" s="8">
        <v>1</v>
      </c>
      <c r="M25" s="8">
        <v>1</v>
      </c>
      <c r="N25" s="8">
        <v>5</v>
      </c>
      <c r="O25" s="8">
        <v>3</v>
      </c>
      <c r="P25" s="8">
        <v>1</v>
      </c>
      <c r="Q25" s="8">
        <v>0</v>
      </c>
      <c r="R25" s="5">
        <f>SUM(K25:Q25)</f>
        <v>12</v>
      </c>
      <c r="S25" s="3" t="s">
        <v>950</v>
      </c>
    </row>
    <row r="26" spans="1:19" ht="56.25" customHeight="1">
      <c r="A26" s="3" t="s">
        <v>303</v>
      </c>
      <c r="B26" s="3" t="s">
        <v>951</v>
      </c>
      <c r="C26" s="3" t="s">
        <v>952</v>
      </c>
      <c r="D26" s="3" t="s">
        <v>953</v>
      </c>
      <c r="E26" s="3" t="s">
        <v>240</v>
      </c>
      <c r="F26" s="3" t="s">
        <v>954</v>
      </c>
      <c r="G26" s="3" t="s">
        <v>955</v>
      </c>
      <c r="H26" s="3" t="s">
        <v>257</v>
      </c>
      <c r="I26" s="3" t="s">
        <v>956</v>
      </c>
      <c r="J26" s="5">
        <f>IF(R26&gt;=24,1,IF(R26&gt;=12,2,3))</f>
        <v>2</v>
      </c>
      <c r="K26" s="8">
        <v>1</v>
      </c>
      <c r="L26" s="8">
        <v>3</v>
      </c>
      <c r="M26" s="8">
        <v>1</v>
      </c>
      <c r="N26" s="8">
        <v>5</v>
      </c>
      <c r="O26" s="8">
        <v>1</v>
      </c>
      <c r="P26" s="8">
        <v>1</v>
      </c>
      <c r="Q26" s="8">
        <v>0</v>
      </c>
      <c r="R26" s="5">
        <f>SUM(K26:Q26)</f>
        <v>12</v>
      </c>
      <c r="S26" s="3" t="s">
        <v>957</v>
      </c>
    </row>
    <row r="27" spans="1:19" ht="69" customHeight="1">
      <c r="A27" s="3" t="s">
        <v>303</v>
      </c>
      <c r="B27" s="3" t="s">
        <v>958</v>
      </c>
      <c r="C27" s="3" t="s">
        <v>959</v>
      </c>
      <c r="D27" s="3" t="s">
        <v>960</v>
      </c>
      <c r="E27" s="3" t="s">
        <v>961</v>
      </c>
      <c r="F27" s="3" t="s">
        <v>240</v>
      </c>
      <c r="G27" s="3" t="s">
        <v>962</v>
      </c>
      <c r="H27" s="3" t="s">
        <v>257</v>
      </c>
      <c r="I27" s="3" t="s">
        <v>963</v>
      </c>
      <c r="J27" s="5">
        <f>IF(R27&gt;=24,1,IF(R27&gt;=12,2,3))</f>
        <v>2</v>
      </c>
      <c r="K27" s="8">
        <v>5</v>
      </c>
      <c r="L27" s="8">
        <v>3</v>
      </c>
      <c r="M27" s="8">
        <v>1</v>
      </c>
      <c r="N27" s="8">
        <v>3</v>
      </c>
      <c r="O27" s="8">
        <v>1</v>
      </c>
      <c r="P27" s="8">
        <v>1</v>
      </c>
      <c r="Q27" s="8">
        <v>0</v>
      </c>
      <c r="R27" s="5">
        <f>SUM(K27:Q27)</f>
        <v>14</v>
      </c>
      <c r="S27" s="3" t="s">
        <v>964</v>
      </c>
    </row>
    <row r="28" spans="1:19" ht="42.75" customHeight="1">
      <c r="A28" s="3" t="s">
        <v>303</v>
      </c>
      <c r="B28" s="3" t="s">
        <v>965</v>
      </c>
      <c r="C28" s="3" t="s">
        <v>966</v>
      </c>
      <c r="D28" s="3" t="s">
        <v>967</v>
      </c>
      <c r="E28" s="3" t="s">
        <v>968</v>
      </c>
      <c r="F28" s="3" t="s">
        <v>240</v>
      </c>
      <c r="G28" s="3" t="s">
        <v>969</v>
      </c>
      <c r="H28" s="3" t="s">
        <v>257</v>
      </c>
      <c r="I28" s="3" t="s">
        <v>970</v>
      </c>
      <c r="J28" s="5">
        <f>IF(R28&gt;=24,1,IF(R28&gt;=12,2,3))</f>
        <v>2</v>
      </c>
      <c r="K28" s="8">
        <v>5</v>
      </c>
      <c r="L28" s="8">
        <v>1</v>
      </c>
      <c r="M28" s="8">
        <v>1</v>
      </c>
      <c r="N28" s="8">
        <v>3</v>
      </c>
      <c r="O28" s="8">
        <v>1</v>
      </c>
      <c r="P28" s="8">
        <v>1</v>
      </c>
      <c r="Q28" s="8">
        <v>0</v>
      </c>
      <c r="R28" s="5">
        <f>SUM(K28:Q28)</f>
        <v>12</v>
      </c>
      <c r="S28" s="3" t="s">
        <v>971</v>
      </c>
    </row>
    <row r="29" spans="1:19" ht="42.75" customHeight="1">
      <c r="A29" s="3" t="s">
        <v>303</v>
      </c>
      <c r="B29" s="3" t="s">
        <v>972</v>
      </c>
      <c r="C29" s="3" t="s">
        <v>973</v>
      </c>
      <c r="D29" s="3" t="s">
        <v>974</v>
      </c>
      <c r="E29" s="3" t="s">
        <v>975</v>
      </c>
      <c r="F29" s="3" t="s">
        <v>240</v>
      </c>
      <c r="G29" s="3" t="s">
        <v>976</v>
      </c>
      <c r="H29" s="3" t="s">
        <v>257</v>
      </c>
      <c r="I29" s="3" t="s">
        <v>977</v>
      </c>
      <c r="J29" s="5">
        <f>IF(R29&gt;=24,1,IF(R29&gt;=12,2,3))</f>
        <v>2</v>
      </c>
      <c r="K29" s="8">
        <v>1</v>
      </c>
      <c r="L29" s="8">
        <v>1</v>
      </c>
      <c r="M29" s="8">
        <v>1</v>
      </c>
      <c r="N29" s="8">
        <v>5</v>
      </c>
      <c r="O29" s="8">
        <v>3</v>
      </c>
      <c r="P29" s="8">
        <v>1</v>
      </c>
      <c r="Q29" s="8">
        <v>0</v>
      </c>
      <c r="R29" s="5">
        <f>SUM(K29:Q29)</f>
        <v>12</v>
      </c>
      <c r="S29" s="3" t="s">
        <v>978</v>
      </c>
    </row>
    <row r="30" spans="1:19" ht="95.25" customHeight="1">
      <c r="A30" s="3" t="s">
        <v>303</v>
      </c>
      <c r="B30" s="3" t="s">
        <v>979</v>
      </c>
      <c r="C30" s="3" t="s">
        <v>980</v>
      </c>
      <c r="D30" s="3" t="s">
        <v>981</v>
      </c>
      <c r="E30" s="3" t="s">
        <v>240</v>
      </c>
      <c r="F30" s="3" t="s">
        <v>982</v>
      </c>
      <c r="G30" s="3" t="s">
        <v>983</v>
      </c>
      <c r="H30" s="3" t="s">
        <v>984</v>
      </c>
      <c r="I30" s="3" t="s">
        <v>985</v>
      </c>
      <c r="J30" s="5">
        <f>IF(R30&gt;=24,1,IF(R30&gt;=12,2,3))</f>
        <v>3</v>
      </c>
      <c r="K30" s="8">
        <v>1</v>
      </c>
      <c r="L30" s="8">
        <v>1</v>
      </c>
      <c r="M30" s="8">
        <v>1</v>
      </c>
      <c r="N30" s="8">
        <v>1</v>
      </c>
      <c r="O30" s="8">
        <v>1</v>
      </c>
      <c r="P30" s="8">
        <v>1</v>
      </c>
      <c r="Q30" s="8">
        <v>0</v>
      </c>
      <c r="R30" s="5">
        <f>SUM(K30:Q30)</f>
        <v>6</v>
      </c>
      <c r="S30" s="3" t="s">
        <v>986</v>
      </c>
    </row>
    <row r="31" spans="1:19" ht="42.75" customHeight="1">
      <c r="A31" s="3" t="s">
        <v>303</v>
      </c>
      <c r="B31" s="3" t="s">
        <v>987</v>
      </c>
      <c r="C31" s="3" t="s">
        <v>988</v>
      </c>
      <c r="D31" s="3" t="s">
        <v>989</v>
      </c>
      <c r="E31" s="3" t="s">
        <v>240</v>
      </c>
      <c r="F31" s="3" t="s">
        <v>240</v>
      </c>
      <c r="G31" s="3" t="s">
        <v>990</v>
      </c>
      <c r="H31" s="3" t="s">
        <v>943</v>
      </c>
      <c r="I31" s="3" t="s">
        <v>991</v>
      </c>
      <c r="J31" s="5">
        <f>IF(R31&gt;=24,1,IF(R31&gt;=12,2,3))</f>
        <v>3</v>
      </c>
      <c r="K31" s="8">
        <v>1</v>
      </c>
      <c r="L31" s="8">
        <v>1</v>
      </c>
      <c r="M31" s="8">
        <v>1</v>
      </c>
      <c r="N31" s="8">
        <v>1</v>
      </c>
      <c r="O31" s="8">
        <v>1</v>
      </c>
      <c r="P31" s="8">
        <v>1</v>
      </c>
      <c r="Q31" s="8">
        <v>0</v>
      </c>
      <c r="R31" s="5">
        <f>SUM(K31:Q31)</f>
        <v>6</v>
      </c>
      <c r="S31" s="3" t="s">
        <v>992</v>
      </c>
    </row>
    <row r="32" spans="1:19" ht="69" customHeight="1">
      <c r="A32" s="3" t="s">
        <v>303</v>
      </c>
      <c r="B32" s="3" t="s">
        <v>993</v>
      </c>
      <c r="C32" s="3" t="s">
        <v>994</v>
      </c>
      <c r="D32" s="3" t="s">
        <v>995</v>
      </c>
      <c r="E32" s="3" t="s">
        <v>240</v>
      </c>
      <c r="F32" s="3" t="s">
        <v>240</v>
      </c>
      <c r="G32" s="3" t="s">
        <v>996</v>
      </c>
      <c r="H32" s="3" t="s">
        <v>943</v>
      </c>
      <c r="I32" s="3" t="s">
        <v>991</v>
      </c>
      <c r="J32" s="5">
        <f>IF(R32&gt;=24,1,IF(R32&gt;=12,2,3))</f>
        <v>3</v>
      </c>
      <c r="K32" s="8">
        <v>1</v>
      </c>
      <c r="L32" s="8">
        <v>1</v>
      </c>
      <c r="M32" s="8">
        <v>1</v>
      </c>
      <c r="N32" s="8">
        <v>1</v>
      </c>
      <c r="O32" s="8">
        <v>1</v>
      </c>
      <c r="P32" s="8">
        <v>1</v>
      </c>
      <c r="Q32" s="8">
        <v>0</v>
      </c>
      <c r="R32" s="5">
        <f>SUM(K32:Q32)</f>
        <v>6</v>
      </c>
      <c r="S32" s="3" t="s">
        <v>997</v>
      </c>
    </row>
    <row r="33" spans="1:19" ht="56.25" customHeight="1">
      <c r="A33" s="3" t="s">
        <v>303</v>
      </c>
      <c r="B33" s="3" t="s">
        <v>998</v>
      </c>
      <c r="C33" s="3" t="s">
        <v>999</v>
      </c>
      <c r="D33" s="3" t="s">
        <v>1000</v>
      </c>
      <c r="E33" s="3" t="s">
        <v>1001</v>
      </c>
      <c r="F33" s="3" t="s">
        <v>240</v>
      </c>
      <c r="G33" s="3" t="s">
        <v>1002</v>
      </c>
      <c r="H33" s="3" t="s">
        <v>257</v>
      </c>
      <c r="I33" s="3" t="s">
        <v>1003</v>
      </c>
      <c r="J33" s="5">
        <f>IF(R33&gt;=24,1,IF(R33&gt;=12,2,3))</f>
        <v>3</v>
      </c>
      <c r="K33" s="8">
        <v>1</v>
      </c>
      <c r="L33" s="8">
        <v>1</v>
      </c>
      <c r="M33" s="8">
        <v>1</v>
      </c>
      <c r="N33" s="8">
        <v>5</v>
      </c>
      <c r="O33" s="8">
        <v>1</v>
      </c>
      <c r="P33" s="8">
        <v>1</v>
      </c>
      <c r="Q33" s="8">
        <v>0</v>
      </c>
      <c r="R33" s="5">
        <f>SUM(K33:Q33)</f>
        <v>10</v>
      </c>
      <c r="S33" s="3" t="s">
        <v>1004</v>
      </c>
    </row>
    <row r="34" spans="1:19" ht="42.75" customHeight="1">
      <c r="A34" s="3" t="s">
        <v>303</v>
      </c>
      <c r="B34" s="3" t="s">
        <v>1005</v>
      </c>
      <c r="C34" s="3" t="s">
        <v>1006</v>
      </c>
      <c r="D34" s="3" t="s">
        <v>1007</v>
      </c>
      <c r="E34" s="3" t="s">
        <v>240</v>
      </c>
      <c r="F34" s="3" t="s">
        <v>1008</v>
      </c>
      <c r="G34" s="3" t="s">
        <v>990</v>
      </c>
      <c r="H34" s="3" t="s">
        <v>943</v>
      </c>
      <c r="I34" s="3" t="s">
        <v>1009</v>
      </c>
      <c r="J34" s="5">
        <f>IF(R34&gt;=24,1,IF(R34&gt;=12,2,3))</f>
        <v>3</v>
      </c>
      <c r="K34" s="8">
        <v>1</v>
      </c>
      <c r="L34" s="8">
        <v>1</v>
      </c>
      <c r="M34" s="8">
        <v>1</v>
      </c>
      <c r="N34" s="8">
        <v>3</v>
      </c>
      <c r="O34" s="8">
        <v>1</v>
      </c>
      <c r="P34" s="8">
        <v>1</v>
      </c>
      <c r="Q34" s="8">
        <v>0</v>
      </c>
      <c r="R34" s="5">
        <f>SUM(K34:Q34)</f>
        <v>8</v>
      </c>
      <c r="S34" s="3" t="s">
        <v>1010</v>
      </c>
    </row>
    <row r="35" spans="1:19" ht="81.75" customHeight="1">
      <c r="A35" s="3" t="s">
        <v>303</v>
      </c>
      <c r="B35" s="7" t="s">
        <v>1011</v>
      </c>
      <c r="C35" s="3" t="s">
        <v>1012</v>
      </c>
      <c r="D35" s="3" t="s">
        <v>1013</v>
      </c>
      <c r="E35" s="3" t="s">
        <v>940</v>
      </c>
      <c r="F35" s="3" t="s">
        <v>1014</v>
      </c>
      <c r="G35" s="3" t="s">
        <v>1015</v>
      </c>
      <c r="H35" s="3" t="s">
        <v>943</v>
      </c>
      <c r="I35" s="3" t="s">
        <v>1016</v>
      </c>
      <c r="J35" s="5">
        <f>IF(R35&gt;=24,1,IF(R35&gt;=12,2,3))</f>
        <v>3</v>
      </c>
      <c r="K35" s="8">
        <v>1</v>
      </c>
      <c r="L35" s="8">
        <v>1</v>
      </c>
      <c r="M35" s="8">
        <v>1</v>
      </c>
      <c r="N35" s="8">
        <v>1</v>
      </c>
      <c r="O35" s="8">
        <v>3</v>
      </c>
      <c r="P35" s="8">
        <v>1</v>
      </c>
      <c r="Q35" s="8">
        <v>0</v>
      </c>
      <c r="R35" s="5">
        <f>SUM(K35:Q35)</f>
        <v>8</v>
      </c>
      <c r="S35" s="3" t="s">
        <v>1017</v>
      </c>
    </row>
    <row r="36" spans="1:19" ht="81.75" customHeight="1">
      <c r="A36" s="3" t="s">
        <v>303</v>
      </c>
      <c r="B36" s="3" t="s">
        <v>1018</v>
      </c>
      <c r="C36" s="3" t="s">
        <v>1019</v>
      </c>
      <c r="D36" s="3" t="s">
        <v>1020</v>
      </c>
      <c r="E36" s="3" t="s">
        <v>240</v>
      </c>
      <c r="F36" s="3" t="s">
        <v>1021</v>
      </c>
      <c r="G36" s="3" t="s">
        <v>1022</v>
      </c>
      <c r="H36" s="3" t="s">
        <v>1023</v>
      </c>
      <c r="I36" s="3" t="s">
        <v>1024</v>
      </c>
      <c r="J36" s="5">
        <f>IF(R36&gt;=24,1,IF(R36&gt;=12,2,3))</f>
        <v>3</v>
      </c>
      <c r="K36" s="8">
        <v>1</v>
      </c>
      <c r="L36" s="9">
        <v>1</v>
      </c>
      <c r="M36" s="8">
        <v>1</v>
      </c>
      <c r="N36" s="8">
        <v>3</v>
      </c>
      <c r="O36" s="8">
        <v>1</v>
      </c>
      <c r="P36" s="9">
        <v>1</v>
      </c>
      <c r="Q36" s="8">
        <v>0</v>
      </c>
      <c r="R36" s="5">
        <f>SUM(K36:Q36)</f>
        <v>8</v>
      </c>
      <c r="S36" s="3" t="s">
        <v>1025</v>
      </c>
    </row>
    <row r="37" spans="1:19" ht="30" customHeight="1">
      <c r="A37" s="3" t="s">
        <v>303</v>
      </c>
      <c r="B37" s="3" t="s">
        <v>1026</v>
      </c>
      <c r="C37" s="3" t="s">
        <v>1027</v>
      </c>
      <c r="D37" s="3" t="s">
        <v>1028</v>
      </c>
      <c r="E37" s="3" t="s">
        <v>240</v>
      </c>
      <c r="F37" s="3" t="s">
        <v>240</v>
      </c>
      <c r="G37" s="3" t="s">
        <v>976</v>
      </c>
      <c r="H37" s="3" t="s">
        <v>257</v>
      </c>
      <c r="I37" s="3" t="s">
        <v>1029</v>
      </c>
      <c r="J37" s="5">
        <f>IF(R37&gt;=24,1,IF(R37&gt;=12,2,3))</f>
        <v>3</v>
      </c>
      <c r="K37" s="8">
        <v>1</v>
      </c>
      <c r="L37" s="8">
        <v>1</v>
      </c>
      <c r="M37" s="8">
        <v>1</v>
      </c>
      <c r="N37" s="8">
        <v>5</v>
      </c>
      <c r="O37" s="8">
        <v>1</v>
      </c>
      <c r="P37" s="8">
        <v>1</v>
      </c>
      <c r="Q37" s="8">
        <v>0</v>
      </c>
      <c r="R37" s="5">
        <f>SUM(K37:Q37)</f>
        <v>10</v>
      </c>
      <c r="S37" s="3" t="s">
        <v>1030</v>
      </c>
    </row>
    <row r="38" spans="1:19" ht="42.75" customHeight="1">
      <c r="A38" s="3" t="s">
        <v>303</v>
      </c>
      <c r="B38" s="3" t="s">
        <v>1031</v>
      </c>
      <c r="C38" s="3" t="s">
        <v>1032</v>
      </c>
      <c r="D38" s="3" t="s">
        <v>1033</v>
      </c>
      <c r="E38" s="3" t="s">
        <v>240</v>
      </c>
      <c r="F38" s="3" t="s">
        <v>1034</v>
      </c>
      <c r="G38" s="3" t="s">
        <v>1035</v>
      </c>
      <c r="H38" s="3" t="s">
        <v>257</v>
      </c>
      <c r="I38" s="3" t="s">
        <v>1036</v>
      </c>
      <c r="J38" s="5">
        <f>IF(R38&gt;=24,1,IF(R38&gt;=12,2,3))</f>
        <v>3</v>
      </c>
      <c r="K38" s="8">
        <v>1</v>
      </c>
      <c r="L38" s="8">
        <v>1</v>
      </c>
      <c r="M38" s="8">
        <v>1</v>
      </c>
      <c r="N38" s="8">
        <v>3</v>
      </c>
      <c r="O38" s="8">
        <v>1</v>
      </c>
      <c r="P38" s="8">
        <v>1</v>
      </c>
      <c r="Q38" s="8">
        <v>0</v>
      </c>
      <c r="R38" s="5">
        <f>SUM(K38:Q38)</f>
        <v>8</v>
      </c>
      <c r="S38" s="3" t="s">
        <v>1037</v>
      </c>
    </row>
    <row r="39" spans="1:19" ht="42.75" customHeight="1">
      <c r="A39" s="3" t="s">
        <v>303</v>
      </c>
      <c r="B39" s="3" t="s">
        <v>1038</v>
      </c>
      <c r="C39" s="7" t="s">
        <v>1039</v>
      </c>
      <c r="D39" s="3" t="s">
        <v>1040</v>
      </c>
      <c r="E39" s="3" t="s">
        <v>1041</v>
      </c>
      <c r="F39" s="3" t="s">
        <v>240</v>
      </c>
      <c r="G39" s="3" t="s">
        <v>1042</v>
      </c>
      <c r="H39" s="3" t="s">
        <v>257</v>
      </c>
      <c r="I39" s="3" t="s">
        <v>1043</v>
      </c>
      <c r="J39" s="5">
        <f>IF(R39&gt;=24,1,IF(R39&gt;=12,2,3))</f>
        <v>3</v>
      </c>
      <c r="K39" s="8">
        <v>5</v>
      </c>
      <c r="L39" s="8">
        <v>1</v>
      </c>
      <c r="M39" s="8">
        <v>1</v>
      </c>
      <c r="N39" s="8">
        <v>1</v>
      </c>
      <c r="O39" s="8">
        <v>1</v>
      </c>
      <c r="P39" s="8">
        <v>1</v>
      </c>
      <c r="Q39" s="8">
        <v>0</v>
      </c>
      <c r="R39" s="5">
        <f>SUM(K39:Q39)</f>
        <v>10</v>
      </c>
      <c r="S39" s="3" t="s">
        <v>1044</v>
      </c>
    </row>
    <row r="40" spans="1:19" ht="30" customHeight="1">
      <c r="A40" s="3" t="s">
        <v>303</v>
      </c>
      <c r="B40" s="3" t="s">
        <v>1045</v>
      </c>
      <c r="C40" s="3" t="s">
        <v>1046</v>
      </c>
      <c r="D40" s="3" t="s">
        <v>1047</v>
      </c>
      <c r="E40" s="3" t="s">
        <v>240</v>
      </c>
      <c r="F40" s="3" t="s">
        <v>240</v>
      </c>
      <c r="G40" s="3" t="s">
        <v>976</v>
      </c>
      <c r="H40" s="3" t="s">
        <v>257</v>
      </c>
      <c r="I40" s="3" t="s">
        <v>884</v>
      </c>
      <c r="J40" s="5">
        <f>IF(R40&gt;=24,1,IF(R40&gt;=12,2,3))</f>
        <v>3</v>
      </c>
      <c r="K40" s="8">
        <v>1</v>
      </c>
      <c r="L40" s="8">
        <v>1</v>
      </c>
      <c r="M40" s="8">
        <v>1</v>
      </c>
      <c r="N40" s="8">
        <v>3</v>
      </c>
      <c r="O40" s="8">
        <v>3</v>
      </c>
      <c r="P40" s="8">
        <v>1</v>
      </c>
      <c r="Q40" s="8">
        <v>0</v>
      </c>
      <c r="R40" s="5">
        <f>SUM(K40:Q40)</f>
        <v>10</v>
      </c>
      <c r="S40" s="3" t="s">
        <v>1048</v>
      </c>
    </row>
    <row r="41" spans="1:19" ht="30" customHeight="1">
      <c r="A41" s="3" t="s">
        <v>303</v>
      </c>
      <c r="B41" s="3" t="s">
        <v>1049</v>
      </c>
      <c r="C41" s="3" t="s">
        <v>1050</v>
      </c>
      <c r="D41" s="3" t="s">
        <v>1051</v>
      </c>
      <c r="E41" s="3" t="s">
        <v>240</v>
      </c>
      <c r="F41" s="3" t="s">
        <v>240</v>
      </c>
      <c r="G41" s="3" t="s">
        <v>976</v>
      </c>
      <c r="H41" s="3" t="s">
        <v>257</v>
      </c>
      <c r="I41" s="3" t="s">
        <v>1052</v>
      </c>
      <c r="J41" s="5">
        <f>IF(R41&gt;=24,1,IF(R41&gt;=12,2,3))</f>
        <v>3</v>
      </c>
      <c r="K41" s="8">
        <v>1</v>
      </c>
      <c r="L41" s="8">
        <v>1</v>
      </c>
      <c r="M41" s="8">
        <v>1</v>
      </c>
      <c r="N41" s="8">
        <v>5</v>
      </c>
      <c r="O41" s="8">
        <v>1</v>
      </c>
      <c r="P41" s="8">
        <v>1</v>
      </c>
      <c r="Q41" s="8">
        <v>0</v>
      </c>
      <c r="R41" s="5">
        <f>SUM(K41:Q41)</f>
        <v>10</v>
      </c>
      <c r="S41" s="3" t="s">
        <v>1053</v>
      </c>
    </row>
    <row r="42" spans="1:19" ht="81.75" customHeight="1">
      <c r="A42" s="3" t="s">
        <v>433</v>
      </c>
      <c r="B42" s="3" t="s">
        <v>1054</v>
      </c>
      <c r="C42" s="3" t="s">
        <v>1055</v>
      </c>
      <c r="D42" s="3" t="s">
        <v>1056</v>
      </c>
      <c r="E42" s="3" t="s">
        <v>240</v>
      </c>
      <c r="F42" s="3" t="s">
        <v>1057</v>
      </c>
      <c r="G42" s="7" t="s">
        <v>1058</v>
      </c>
      <c r="H42" s="3" t="s">
        <v>1059</v>
      </c>
      <c r="I42" s="3" t="s">
        <v>1060</v>
      </c>
      <c r="J42" s="5">
        <f>IF(R42&gt;=24,1,IF(R42&gt;=12,2,3))</f>
        <v>2</v>
      </c>
      <c r="K42" s="8">
        <v>1</v>
      </c>
      <c r="L42" s="8">
        <v>1</v>
      </c>
      <c r="M42" s="8">
        <v>5</v>
      </c>
      <c r="N42" s="8">
        <v>3</v>
      </c>
      <c r="O42" s="8">
        <v>1</v>
      </c>
      <c r="P42" s="8">
        <v>1</v>
      </c>
      <c r="Q42" s="8">
        <v>0</v>
      </c>
      <c r="R42" s="5">
        <f>SUM(K42:Q42)</f>
        <v>12</v>
      </c>
      <c r="S42" s="3" t="s">
        <v>1061</v>
      </c>
    </row>
    <row r="43" spans="1:19" ht="69" customHeight="1">
      <c r="A43" s="3" t="s">
        <v>433</v>
      </c>
      <c r="B43" s="3" t="s">
        <v>1062</v>
      </c>
      <c r="C43" s="3" t="s">
        <v>1063</v>
      </c>
      <c r="D43" s="3" t="s">
        <v>1064</v>
      </c>
      <c r="E43" s="3" t="s">
        <v>240</v>
      </c>
      <c r="F43" s="3" t="s">
        <v>1065</v>
      </c>
      <c r="G43" s="7" t="s">
        <v>1066</v>
      </c>
      <c r="H43" s="3" t="s">
        <v>1059</v>
      </c>
      <c r="I43" s="3" t="s">
        <v>1067</v>
      </c>
      <c r="J43" s="5">
        <f>IF(R43&gt;=24,1,IF(R43&gt;=12,2,3))</f>
        <v>2</v>
      </c>
      <c r="K43" s="8">
        <v>1</v>
      </c>
      <c r="L43" s="8">
        <v>5</v>
      </c>
      <c r="M43" s="8">
        <v>5</v>
      </c>
      <c r="N43" s="8">
        <v>5</v>
      </c>
      <c r="O43" s="8">
        <v>1</v>
      </c>
      <c r="P43" s="8">
        <v>1</v>
      </c>
      <c r="Q43" s="8">
        <v>0</v>
      </c>
      <c r="R43" s="5">
        <f>SUM(K43:Q43)</f>
        <v>18</v>
      </c>
      <c r="S43" s="3" t="s">
        <v>1068</v>
      </c>
    </row>
    <row r="44" spans="1:19" ht="56.25" customHeight="1">
      <c r="A44" s="3" t="s">
        <v>433</v>
      </c>
      <c r="B44" s="3" t="s">
        <v>1069</v>
      </c>
      <c r="C44" s="3" t="s">
        <v>1070</v>
      </c>
      <c r="D44" s="3" t="s">
        <v>1071</v>
      </c>
      <c r="E44" s="3" t="s">
        <v>240</v>
      </c>
      <c r="F44" s="3" t="s">
        <v>460</v>
      </c>
      <c r="G44" s="7" t="s">
        <v>1072</v>
      </c>
      <c r="H44" s="3" t="s">
        <v>1059</v>
      </c>
      <c r="I44" s="3" t="s">
        <v>1073</v>
      </c>
      <c r="J44" s="5">
        <f>IF(R44&gt;=24,1,IF(R44&gt;=12,2,3))</f>
        <v>2</v>
      </c>
      <c r="K44" s="8">
        <v>1</v>
      </c>
      <c r="L44" s="8">
        <v>5</v>
      </c>
      <c r="M44" s="8">
        <v>5</v>
      </c>
      <c r="N44" s="8">
        <v>3</v>
      </c>
      <c r="O44" s="8">
        <v>1</v>
      </c>
      <c r="P44" s="8">
        <v>1</v>
      </c>
      <c r="Q44" s="8">
        <v>0</v>
      </c>
      <c r="R44" s="5">
        <f>SUM(K44:Q44)</f>
        <v>16</v>
      </c>
      <c r="S44" s="3" t="s">
        <v>1074</v>
      </c>
    </row>
    <row r="45" spans="1:19" ht="69" customHeight="1">
      <c r="A45" s="3" t="s">
        <v>433</v>
      </c>
      <c r="B45" s="3" t="s">
        <v>1075</v>
      </c>
      <c r="C45" s="3" t="s">
        <v>1076</v>
      </c>
      <c r="D45" s="3" t="s">
        <v>1077</v>
      </c>
      <c r="E45" s="3" t="s">
        <v>240</v>
      </c>
      <c r="F45" s="3" t="s">
        <v>1078</v>
      </c>
      <c r="G45" s="7" t="s">
        <v>1079</v>
      </c>
      <c r="H45" s="3" t="s">
        <v>1059</v>
      </c>
      <c r="I45" s="3" t="s">
        <v>1080</v>
      </c>
      <c r="J45" s="5">
        <f>IF(R45&gt;=24,1,IF(R45&gt;=12,2,3))</f>
        <v>2</v>
      </c>
      <c r="K45" s="8">
        <v>1</v>
      </c>
      <c r="L45" s="8">
        <v>3</v>
      </c>
      <c r="M45" s="8">
        <v>5</v>
      </c>
      <c r="N45" s="8">
        <v>3</v>
      </c>
      <c r="O45" s="8">
        <v>1</v>
      </c>
      <c r="P45" s="8">
        <v>1</v>
      </c>
      <c r="Q45" s="8">
        <v>0</v>
      </c>
      <c r="R45" s="5">
        <f>SUM(K45:Q45)</f>
        <v>14</v>
      </c>
      <c r="S45" s="3" t="s">
        <v>1081</v>
      </c>
    </row>
    <row r="46" spans="1:19" ht="42.75" customHeight="1">
      <c r="A46" s="3" t="s">
        <v>433</v>
      </c>
      <c r="B46" s="3" t="s">
        <v>1082</v>
      </c>
      <c r="C46" s="3" t="s">
        <v>1083</v>
      </c>
      <c r="D46" s="3" t="s">
        <v>1084</v>
      </c>
      <c r="E46" s="3" t="s">
        <v>240</v>
      </c>
      <c r="F46" s="3" t="s">
        <v>1085</v>
      </c>
      <c r="G46" s="7" t="s">
        <v>1086</v>
      </c>
      <c r="H46" s="3" t="s">
        <v>1059</v>
      </c>
      <c r="I46" s="3" t="s">
        <v>1087</v>
      </c>
      <c r="J46" s="5">
        <f>IF(R46&gt;=24,1,IF(R46&gt;=12,2,3))</f>
        <v>2</v>
      </c>
      <c r="K46" s="8">
        <v>1</v>
      </c>
      <c r="L46" s="8">
        <v>5</v>
      </c>
      <c r="M46" s="8">
        <v>1</v>
      </c>
      <c r="N46" s="8">
        <v>5</v>
      </c>
      <c r="O46" s="8">
        <v>1</v>
      </c>
      <c r="P46" s="8">
        <v>1</v>
      </c>
      <c r="Q46" s="8">
        <v>0</v>
      </c>
      <c r="R46" s="5">
        <f>SUM(K46:Q46)</f>
        <v>14</v>
      </c>
      <c r="S46" s="3" t="s">
        <v>1088</v>
      </c>
    </row>
    <row r="47" spans="1:19" ht="42.75" customHeight="1">
      <c r="A47" s="3" t="s">
        <v>433</v>
      </c>
      <c r="B47" s="3" t="s">
        <v>1089</v>
      </c>
      <c r="C47" s="7" t="s">
        <v>1090</v>
      </c>
      <c r="D47" s="3" t="s">
        <v>1091</v>
      </c>
      <c r="E47" s="3" t="s">
        <v>240</v>
      </c>
      <c r="F47" s="3" t="s">
        <v>240</v>
      </c>
      <c r="G47" s="7" t="s">
        <v>1092</v>
      </c>
      <c r="H47" s="3" t="s">
        <v>1059</v>
      </c>
      <c r="I47" s="3" t="s">
        <v>1093</v>
      </c>
      <c r="J47" s="5">
        <f>IF(R47&gt;=24,1,IF(R47&gt;=12,2,3))</f>
        <v>2</v>
      </c>
      <c r="K47" s="8">
        <v>1</v>
      </c>
      <c r="L47" s="8">
        <v>3</v>
      </c>
      <c r="M47" s="8">
        <v>1</v>
      </c>
      <c r="N47" s="8">
        <v>5</v>
      </c>
      <c r="O47" s="8">
        <v>1</v>
      </c>
      <c r="P47" s="8">
        <v>1</v>
      </c>
      <c r="Q47" s="8">
        <v>0</v>
      </c>
      <c r="R47" s="5">
        <f>SUM(K47:Q47)</f>
        <v>12</v>
      </c>
      <c r="S47" s="3" t="s">
        <v>1094</v>
      </c>
    </row>
    <row r="48" spans="1:19" ht="56.25" customHeight="1">
      <c r="A48" s="3" t="s">
        <v>433</v>
      </c>
      <c r="B48" s="3" t="s">
        <v>475</v>
      </c>
      <c r="C48" s="3" t="s">
        <v>1095</v>
      </c>
      <c r="D48" s="3" t="s">
        <v>1096</v>
      </c>
      <c r="E48" s="3" t="s">
        <v>240</v>
      </c>
      <c r="F48" s="3" t="s">
        <v>478</v>
      </c>
      <c r="G48" s="7" t="s">
        <v>1097</v>
      </c>
      <c r="H48" s="3" t="s">
        <v>1059</v>
      </c>
      <c r="I48" s="3" t="s">
        <v>1098</v>
      </c>
      <c r="J48" s="5">
        <f>IF(R48&gt;=24,1,IF(R48&gt;=12,2,3))</f>
        <v>2</v>
      </c>
      <c r="K48" s="8">
        <v>1</v>
      </c>
      <c r="L48" s="8">
        <v>5</v>
      </c>
      <c r="M48" s="8">
        <v>5</v>
      </c>
      <c r="N48" s="8">
        <v>5</v>
      </c>
      <c r="O48" s="8">
        <v>1</v>
      </c>
      <c r="P48" s="8">
        <v>1</v>
      </c>
      <c r="Q48" s="8">
        <v>0</v>
      </c>
      <c r="R48" s="5">
        <f>SUM(K48:Q48)</f>
        <v>18</v>
      </c>
      <c r="S48" s="3" t="s">
        <v>1099</v>
      </c>
    </row>
    <row r="49" spans="1:19" ht="30" customHeight="1">
      <c r="A49" s="3" t="s">
        <v>433</v>
      </c>
      <c r="B49" s="3" t="s">
        <v>482</v>
      </c>
      <c r="C49" s="3" t="s">
        <v>1100</v>
      </c>
      <c r="D49" s="3" t="s">
        <v>1101</v>
      </c>
      <c r="E49" s="3" t="s">
        <v>240</v>
      </c>
      <c r="F49" s="3" t="s">
        <v>478</v>
      </c>
      <c r="G49" s="7" t="s">
        <v>1102</v>
      </c>
      <c r="H49" s="3" t="s">
        <v>1059</v>
      </c>
      <c r="I49" s="3" t="s">
        <v>1098</v>
      </c>
      <c r="J49" s="5">
        <f>IF(R49&gt;=24,1,IF(R49&gt;=12,2,3))</f>
        <v>2</v>
      </c>
      <c r="K49" s="8">
        <v>1</v>
      </c>
      <c r="L49" s="8">
        <v>1</v>
      </c>
      <c r="M49" s="8">
        <v>5</v>
      </c>
      <c r="N49" s="8">
        <v>3</v>
      </c>
      <c r="O49" s="8">
        <v>1</v>
      </c>
      <c r="P49" s="8">
        <v>1</v>
      </c>
      <c r="Q49" s="8">
        <v>0</v>
      </c>
      <c r="R49" s="5">
        <f>SUM(K49:Q49)</f>
        <v>12</v>
      </c>
      <c r="S49" s="3" t="s">
        <v>1103</v>
      </c>
    </row>
    <row r="50" spans="1:19" ht="69" customHeight="1">
      <c r="A50" s="3" t="s">
        <v>433</v>
      </c>
      <c r="B50" s="3" t="s">
        <v>1104</v>
      </c>
      <c r="C50" s="3" t="s">
        <v>1076</v>
      </c>
      <c r="D50" s="3" t="s">
        <v>1105</v>
      </c>
      <c r="E50" s="3" t="s">
        <v>240</v>
      </c>
      <c r="F50" s="3" t="s">
        <v>1106</v>
      </c>
      <c r="G50" s="7" t="s">
        <v>1107</v>
      </c>
      <c r="H50" s="3" t="s">
        <v>1059</v>
      </c>
      <c r="I50" s="3" t="s">
        <v>884</v>
      </c>
      <c r="J50" s="5">
        <f>IF(R50&gt;=24,1,IF(R50&gt;=12,2,3))</f>
        <v>3</v>
      </c>
      <c r="K50" s="8">
        <v>1</v>
      </c>
      <c r="L50" s="8">
        <v>3</v>
      </c>
      <c r="M50" s="8">
        <v>1</v>
      </c>
      <c r="N50" s="8">
        <v>3</v>
      </c>
      <c r="O50" s="8">
        <v>1</v>
      </c>
      <c r="P50" s="8">
        <v>1</v>
      </c>
      <c r="Q50" s="8">
        <v>0</v>
      </c>
      <c r="R50" s="5">
        <f>SUM(K50:Q50)</f>
        <v>10</v>
      </c>
      <c r="S50" s="3" t="s">
        <v>1108</v>
      </c>
    </row>
    <row r="51" spans="1:19" ht="30" customHeight="1">
      <c r="A51" s="3" t="s">
        <v>433</v>
      </c>
      <c r="B51" s="3" t="s">
        <v>1109</v>
      </c>
      <c r="C51" s="3" t="s">
        <v>1110</v>
      </c>
      <c r="D51" s="3" t="s">
        <v>1111</v>
      </c>
      <c r="E51" s="3" t="s">
        <v>240</v>
      </c>
      <c r="F51" s="3" t="s">
        <v>240</v>
      </c>
      <c r="G51" s="7" t="s">
        <v>1092</v>
      </c>
      <c r="H51" s="3" t="s">
        <v>1059</v>
      </c>
      <c r="I51" s="3" t="s">
        <v>884</v>
      </c>
      <c r="J51" s="5">
        <f>IF(R51&gt;=24,1,IF(R51&gt;=12,2,3))</f>
        <v>3</v>
      </c>
      <c r="K51" s="8">
        <v>1</v>
      </c>
      <c r="L51" s="8">
        <v>1</v>
      </c>
      <c r="M51" s="8">
        <v>1</v>
      </c>
      <c r="N51" s="8">
        <v>1</v>
      </c>
      <c r="O51" s="8">
        <v>1</v>
      </c>
      <c r="P51" s="8">
        <v>1</v>
      </c>
      <c r="Q51" s="8">
        <v>0</v>
      </c>
      <c r="R51" s="5">
        <f>SUM(K51:Q51)</f>
        <v>6</v>
      </c>
      <c r="S51" s="3" t="s">
        <v>1094</v>
      </c>
    </row>
    <row r="52" spans="1:19" ht="30" customHeight="1">
      <c r="A52" s="3" t="s">
        <v>433</v>
      </c>
      <c r="B52" s="3" t="s">
        <v>1112</v>
      </c>
      <c r="C52" s="3" t="s">
        <v>1113</v>
      </c>
      <c r="D52" s="3" t="s">
        <v>1114</v>
      </c>
      <c r="E52" s="3" t="s">
        <v>240</v>
      </c>
      <c r="F52" s="3" t="s">
        <v>240</v>
      </c>
      <c r="G52" s="7" t="s">
        <v>1115</v>
      </c>
      <c r="H52" s="3" t="s">
        <v>1059</v>
      </c>
      <c r="I52" s="3" t="s">
        <v>884</v>
      </c>
      <c r="J52" s="5">
        <f>IF(R52&gt;=24,1,IF(R52&gt;=12,2,3))</f>
        <v>3</v>
      </c>
      <c r="K52" s="8">
        <v>1</v>
      </c>
      <c r="L52" s="8">
        <v>1</v>
      </c>
      <c r="M52" s="8">
        <v>1</v>
      </c>
      <c r="N52" s="8">
        <v>3</v>
      </c>
      <c r="O52" s="8">
        <v>1</v>
      </c>
      <c r="P52" s="8">
        <v>1</v>
      </c>
      <c r="Q52" s="8">
        <v>0</v>
      </c>
      <c r="R52" s="5">
        <f>SUM(K52:Q52)</f>
        <v>8</v>
      </c>
      <c r="S52" s="3" t="s">
        <v>1116</v>
      </c>
    </row>
    <row r="53" spans="1:19" ht="30" customHeight="1">
      <c r="A53" s="3" t="s">
        <v>433</v>
      </c>
      <c r="B53" s="3" t="s">
        <v>1117</v>
      </c>
      <c r="C53" s="3" t="s">
        <v>1118</v>
      </c>
      <c r="D53" s="3" t="s">
        <v>1119</v>
      </c>
      <c r="E53" s="3" t="s">
        <v>240</v>
      </c>
      <c r="F53" s="3" t="s">
        <v>240</v>
      </c>
      <c r="G53" s="7" t="s">
        <v>976</v>
      </c>
      <c r="H53" s="3" t="s">
        <v>1059</v>
      </c>
      <c r="I53" s="3" t="s">
        <v>1120</v>
      </c>
      <c r="J53" s="5">
        <f>IF(R53&gt;=24,1,IF(R53&gt;=12,2,3))</f>
        <v>3</v>
      </c>
      <c r="K53" s="8">
        <v>1</v>
      </c>
      <c r="L53" s="8">
        <v>1</v>
      </c>
      <c r="M53" s="8">
        <v>1</v>
      </c>
      <c r="N53" s="8">
        <v>5</v>
      </c>
      <c r="O53" s="8">
        <v>1</v>
      </c>
      <c r="P53" s="8">
        <v>1</v>
      </c>
      <c r="Q53" s="8">
        <v>0</v>
      </c>
      <c r="R53" s="5">
        <f>SUM(K53:Q53)</f>
        <v>10</v>
      </c>
      <c r="S53" s="3" t="s">
        <v>1121</v>
      </c>
    </row>
    <row r="54" spans="1:19" ht="30" customHeight="1">
      <c r="A54" s="3" t="s">
        <v>433</v>
      </c>
      <c r="B54" s="3" t="s">
        <v>1122</v>
      </c>
      <c r="C54" s="3" t="s">
        <v>1123</v>
      </c>
      <c r="D54" s="3" t="s">
        <v>1124</v>
      </c>
      <c r="E54" s="3" t="s">
        <v>240</v>
      </c>
      <c r="F54" s="3" t="s">
        <v>240</v>
      </c>
      <c r="G54" s="7" t="s">
        <v>1125</v>
      </c>
      <c r="H54" s="3" t="s">
        <v>1059</v>
      </c>
      <c r="I54" s="3" t="s">
        <v>884</v>
      </c>
      <c r="J54" s="5">
        <f>IF(R54&gt;=24,1,IF(R54&gt;=12,2,3))</f>
        <v>3</v>
      </c>
      <c r="K54" s="8">
        <v>1</v>
      </c>
      <c r="L54" s="8">
        <v>1</v>
      </c>
      <c r="M54" s="8">
        <v>1</v>
      </c>
      <c r="N54" s="8">
        <v>3</v>
      </c>
      <c r="O54" s="8">
        <v>1</v>
      </c>
      <c r="P54" s="8">
        <v>1</v>
      </c>
      <c r="Q54" s="8">
        <v>0</v>
      </c>
      <c r="R54" s="5">
        <f>SUM(K54:Q54)</f>
        <v>8</v>
      </c>
      <c r="S54" s="3" t="s">
        <v>1121</v>
      </c>
    </row>
    <row r="55" spans="1:19" ht="30" customHeight="1">
      <c r="A55" s="3" t="s">
        <v>433</v>
      </c>
      <c r="B55" s="3" t="s">
        <v>1126</v>
      </c>
      <c r="C55" s="3" t="s">
        <v>1127</v>
      </c>
      <c r="D55" s="3" t="s">
        <v>1128</v>
      </c>
      <c r="E55" s="3" t="s">
        <v>240</v>
      </c>
      <c r="F55" s="3" t="s">
        <v>240</v>
      </c>
      <c r="G55" s="7" t="s">
        <v>257</v>
      </c>
      <c r="H55" s="3" t="s">
        <v>1059</v>
      </c>
      <c r="I55" s="3" t="s">
        <v>884</v>
      </c>
      <c r="J55" s="5">
        <f>IF(R55&gt;=24,1,IF(R55&gt;=12,2,3))</f>
        <v>3</v>
      </c>
      <c r="K55" s="8">
        <v>1</v>
      </c>
      <c r="L55" s="8">
        <v>1</v>
      </c>
      <c r="M55" s="8">
        <v>1</v>
      </c>
      <c r="N55" s="8">
        <v>1</v>
      </c>
      <c r="O55" s="8">
        <v>1</v>
      </c>
      <c r="P55" s="8">
        <v>1</v>
      </c>
      <c r="Q55" s="8">
        <v>0</v>
      </c>
      <c r="R55" s="5">
        <f>SUM(K55:Q55)</f>
        <v>6</v>
      </c>
      <c r="S55" s="3" t="s">
        <v>1116</v>
      </c>
    </row>
    <row r="56" spans="1:19" ht="30" customHeight="1">
      <c r="A56" s="3" t="s">
        <v>433</v>
      </c>
      <c r="B56" s="3" t="s">
        <v>497</v>
      </c>
      <c r="C56" s="3" t="s">
        <v>1129</v>
      </c>
      <c r="D56" s="3" t="s">
        <v>1130</v>
      </c>
      <c r="E56" s="3" t="s">
        <v>240</v>
      </c>
      <c r="F56" s="3" t="s">
        <v>240</v>
      </c>
      <c r="G56" s="7" t="s">
        <v>257</v>
      </c>
      <c r="H56" s="3" t="s">
        <v>1059</v>
      </c>
      <c r="I56" s="3" t="s">
        <v>884</v>
      </c>
      <c r="J56" s="5">
        <f>IF(R56&gt;=24,1,IF(R56&gt;=12,2,3))</f>
        <v>3</v>
      </c>
      <c r="K56" s="8">
        <v>1</v>
      </c>
      <c r="L56" s="8">
        <v>1</v>
      </c>
      <c r="M56" s="8">
        <v>1</v>
      </c>
      <c r="N56" s="8">
        <v>3</v>
      </c>
      <c r="O56" s="8">
        <v>1</v>
      </c>
      <c r="P56" s="8">
        <v>1</v>
      </c>
      <c r="Q56" s="8">
        <v>0</v>
      </c>
      <c r="R56" s="5">
        <f>SUM(K56:Q56)</f>
        <v>8</v>
      </c>
      <c r="S56" s="3" t="s">
        <v>1116</v>
      </c>
    </row>
    <row r="57" spans="1:19" ht="30" customHeight="1">
      <c r="A57" s="3" t="s">
        <v>433</v>
      </c>
      <c r="B57" s="3" t="s">
        <v>502</v>
      </c>
      <c r="C57" s="3" t="s">
        <v>1131</v>
      </c>
      <c r="D57" s="3" t="s">
        <v>1130</v>
      </c>
      <c r="E57" s="3" t="s">
        <v>240</v>
      </c>
      <c r="F57" s="3" t="s">
        <v>240</v>
      </c>
      <c r="G57" s="7" t="s">
        <v>257</v>
      </c>
      <c r="H57" s="3" t="s">
        <v>1059</v>
      </c>
      <c r="I57" s="3" t="s">
        <v>884</v>
      </c>
      <c r="J57" s="5">
        <f>IF(R57&gt;=24,1,IF(R57&gt;=12,2,3))</f>
        <v>3</v>
      </c>
      <c r="K57" s="8">
        <v>1</v>
      </c>
      <c r="L57" s="8">
        <v>1</v>
      </c>
      <c r="M57" s="8">
        <v>1</v>
      </c>
      <c r="N57" s="8">
        <v>3</v>
      </c>
      <c r="O57" s="8">
        <v>1</v>
      </c>
      <c r="P57" s="8">
        <v>1</v>
      </c>
      <c r="Q57" s="8">
        <v>0</v>
      </c>
      <c r="R57" s="5">
        <f>SUM(K57:Q57)</f>
        <v>8</v>
      </c>
      <c r="S57" s="3" t="s">
        <v>1116</v>
      </c>
    </row>
    <row r="58" spans="1:19" ht="30" customHeight="1">
      <c r="A58" s="3" t="s">
        <v>433</v>
      </c>
      <c r="B58" s="3" t="s">
        <v>526</v>
      </c>
      <c r="C58" s="3" t="s">
        <v>1132</v>
      </c>
      <c r="D58" s="3" t="s">
        <v>1133</v>
      </c>
      <c r="E58" s="3" t="s">
        <v>240</v>
      </c>
      <c r="F58" s="3" t="s">
        <v>240</v>
      </c>
      <c r="G58" s="7" t="s">
        <v>1134</v>
      </c>
      <c r="H58" s="3" t="s">
        <v>1059</v>
      </c>
      <c r="I58" s="3" t="s">
        <v>884</v>
      </c>
      <c r="J58" s="5">
        <f>IF(R58&gt;=24,1,IF(R58&gt;=12,2,3))</f>
        <v>3</v>
      </c>
      <c r="K58" s="8">
        <v>1</v>
      </c>
      <c r="L58" s="8">
        <v>1</v>
      </c>
      <c r="M58" s="8">
        <v>1</v>
      </c>
      <c r="N58" s="8">
        <v>3</v>
      </c>
      <c r="O58" s="8">
        <v>1</v>
      </c>
      <c r="P58" s="8">
        <v>1</v>
      </c>
      <c r="Q58" s="8">
        <v>0</v>
      </c>
      <c r="R58" s="5">
        <f>SUM(K58:Q58)</f>
        <v>8</v>
      </c>
      <c r="S58" s="3" t="s">
        <v>1135</v>
      </c>
    </row>
    <row r="59" spans="1:19" ht="30" customHeight="1">
      <c r="A59" s="3" t="s">
        <v>433</v>
      </c>
      <c r="B59" s="3" t="s">
        <v>1136</v>
      </c>
      <c r="C59" s="3" t="s">
        <v>1137</v>
      </c>
      <c r="D59" s="3" t="s">
        <v>1138</v>
      </c>
      <c r="E59" s="3" t="s">
        <v>240</v>
      </c>
      <c r="F59" s="3" t="s">
        <v>240</v>
      </c>
      <c r="G59" s="7" t="s">
        <v>1139</v>
      </c>
      <c r="H59" s="3" t="s">
        <v>1059</v>
      </c>
      <c r="I59" s="3" t="s">
        <v>884</v>
      </c>
      <c r="J59" s="5">
        <f>IF(R59&gt;=24,1,IF(R59&gt;=12,2,3))</f>
        <v>3</v>
      </c>
      <c r="K59" s="8">
        <v>1</v>
      </c>
      <c r="L59" s="8">
        <v>1</v>
      </c>
      <c r="M59" s="8">
        <v>1</v>
      </c>
      <c r="N59" s="8">
        <v>3</v>
      </c>
      <c r="O59" s="8">
        <v>1</v>
      </c>
      <c r="P59" s="8">
        <v>1</v>
      </c>
      <c r="Q59" s="8">
        <v>0</v>
      </c>
      <c r="R59" s="5">
        <f>SUM(K59:Q59)</f>
        <v>8</v>
      </c>
      <c r="S59" s="3" t="s">
        <v>1140</v>
      </c>
    </row>
    <row r="60" spans="1:19" ht="30" customHeight="1">
      <c r="A60" s="3" t="s">
        <v>433</v>
      </c>
      <c r="B60" s="3" t="s">
        <v>541</v>
      </c>
      <c r="C60" s="3" t="s">
        <v>1141</v>
      </c>
      <c r="D60" s="3" t="s">
        <v>1142</v>
      </c>
      <c r="E60" s="3" t="s">
        <v>240</v>
      </c>
      <c r="F60" s="3" t="s">
        <v>240</v>
      </c>
      <c r="G60" s="7" t="s">
        <v>1143</v>
      </c>
      <c r="H60" s="3" t="s">
        <v>1059</v>
      </c>
      <c r="I60" s="3" t="s">
        <v>1144</v>
      </c>
      <c r="J60" s="5">
        <f>IF(R60&gt;=24,1,IF(R60&gt;=12,2,3))</f>
        <v>3</v>
      </c>
      <c r="K60" s="8">
        <v>1</v>
      </c>
      <c r="L60" s="8">
        <v>1</v>
      </c>
      <c r="M60" s="8">
        <v>1</v>
      </c>
      <c r="N60" s="8">
        <v>3</v>
      </c>
      <c r="O60" s="8">
        <v>1</v>
      </c>
      <c r="P60" s="8">
        <v>1</v>
      </c>
      <c r="Q60" s="8">
        <v>0</v>
      </c>
      <c r="R60" s="5">
        <f>SUM(K60:Q60)</f>
        <v>8</v>
      </c>
      <c r="S60" s="3" t="s">
        <v>1145</v>
      </c>
    </row>
    <row r="61" spans="1:19" ht="30" customHeight="1">
      <c r="A61" s="3" t="s">
        <v>433</v>
      </c>
      <c r="B61" s="3" t="s">
        <v>511</v>
      </c>
      <c r="C61" s="3" t="s">
        <v>1146</v>
      </c>
      <c r="D61" s="3" t="s">
        <v>1147</v>
      </c>
      <c r="E61" s="3" t="s">
        <v>240</v>
      </c>
      <c r="F61" s="3" t="s">
        <v>240</v>
      </c>
      <c r="G61" s="7" t="s">
        <v>257</v>
      </c>
      <c r="H61" s="3" t="s">
        <v>1059</v>
      </c>
      <c r="I61" s="3" t="s">
        <v>884</v>
      </c>
      <c r="J61" s="5">
        <f>IF(R61&gt;=24,1,IF(R61&gt;=12,2,3))</f>
        <v>3</v>
      </c>
      <c r="K61" s="8">
        <v>1</v>
      </c>
      <c r="L61" s="8">
        <v>1</v>
      </c>
      <c r="M61" s="8">
        <v>1</v>
      </c>
      <c r="N61" s="8">
        <v>1</v>
      </c>
      <c r="O61" s="8">
        <v>1</v>
      </c>
      <c r="P61" s="8">
        <v>1</v>
      </c>
      <c r="Q61" s="8">
        <v>0</v>
      </c>
      <c r="R61" s="5">
        <f>SUM(K61:Q61)</f>
        <v>6</v>
      </c>
      <c r="S61" s="3" t="s">
        <v>1116</v>
      </c>
    </row>
    <row r="62" spans="1:19" ht="30" customHeight="1">
      <c r="A62" s="3" t="s">
        <v>433</v>
      </c>
      <c r="B62" s="3" t="s">
        <v>558</v>
      </c>
      <c r="C62" s="3" t="s">
        <v>1148</v>
      </c>
      <c r="D62" s="3" t="s">
        <v>1128</v>
      </c>
      <c r="E62" s="3" t="s">
        <v>240</v>
      </c>
      <c r="F62" s="3" t="s">
        <v>240</v>
      </c>
      <c r="G62" s="7" t="s">
        <v>257</v>
      </c>
      <c r="H62" s="3" t="s">
        <v>1059</v>
      </c>
      <c r="I62" s="3" t="s">
        <v>884</v>
      </c>
      <c r="J62" s="5">
        <f>IF(R62&gt;=24,1,IF(R62&gt;=12,2,3))</f>
        <v>3</v>
      </c>
      <c r="K62" s="8">
        <v>1</v>
      </c>
      <c r="L62" s="8">
        <v>1</v>
      </c>
      <c r="M62" s="8">
        <v>1</v>
      </c>
      <c r="N62" s="8">
        <v>3</v>
      </c>
      <c r="O62" s="8">
        <v>1</v>
      </c>
      <c r="P62" s="8">
        <v>1</v>
      </c>
      <c r="Q62" s="8">
        <v>0</v>
      </c>
      <c r="R62" s="5">
        <f>SUM(K62:Q62)</f>
        <v>8</v>
      </c>
      <c r="S62" s="3" t="s">
        <v>1116</v>
      </c>
    </row>
    <row r="63" spans="1:19" ht="30" customHeight="1">
      <c r="A63" s="3" t="s">
        <v>433</v>
      </c>
      <c r="B63" s="3" t="s">
        <v>1149</v>
      </c>
      <c r="C63" s="3" t="s">
        <v>1150</v>
      </c>
      <c r="D63" s="3" t="s">
        <v>1151</v>
      </c>
      <c r="E63" s="3" t="s">
        <v>240</v>
      </c>
      <c r="F63" s="3" t="s">
        <v>1152</v>
      </c>
      <c r="G63" s="7" t="s">
        <v>1153</v>
      </c>
      <c r="H63" s="3" t="s">
        <v>1059</v>
      </c>
      <c r="I63" s="3" t="s">
        <v>884</v>
      </c>
      <c r="J63" s="5">
        <f>IF(R63&gt;=24,1,IF(R63&gt;=12,2,3))</f>
        <v>3</v>
      </c>
      <c r="K63" s="8">
        <v>1</v>
      </c>
      <c r="L63" s="8">
        <v>1</v>
      </c>
      <c r="M63" s="8">
        <v>1</v>
      </c>
      <c r="N63" s="8">
        <v>1</v>
      </c>
      <c r="O63" s="8">
        <v>1</v>
      </c>
      <c r="P63" s="8">
        <v>1</v>
      </c>
      <c r="Q63" s="8">
        <v>0</v>
      </c>
      <c r="R63" s="5">
        <f>SUM(K63:Q63)</f>
        <v>6</v>
      </c>
      <c r="S63" s="3" t="s">
        <v>1154</v>
      </c>
    </row>
    <row r="64" spans="1:19" ht="56.25" customHeight="1">
      <c r="A64" s="3" t="s">
        <v>433</v>
      </c>
      <c r="B64" s="3" t="s">
        <v>1155</v>
      </c>
      <c r="C64" s="3" t="s">
        <v>1156</v>
      </c>
      <c r="D64" s="3" t="s">
        <v>1157</v>
      </c>
      <c r="E64" s="3" t="s">
        <v>240</v>
      </c>
      <c r="F64" s="3" t="s">
        <v>1158</v>
      </c>
      <c r="G64" s="7" t="s">
        <v>1159</v>
      </c>
      <c r="H64" s="3" t="s">
        <v>1059</v>
      </c>
      <c r="I64" s="3" t="s">
        <v>1160</v>
      </c>
      <c r="J64" s="5">
        <f>IF(R64&gt;=24,1,IF(R64&gt;=12,2,3))</f>
        <v>3</v>
      </c>
      <c r="K64" s="8">
        <v>1</v>
      </c>
      <c r="L64" s="8">
        <v>1</v>
      </c>
      <c r="M64" s="8">
        <v>1</v>
      </c>
      <c r="N64" s="8">
        <v>1</v>
      </c>
      <c r="O64" s="8">
        <v>1</v>
      </c>
      <c r="P64" s="8">
        <v>1</v>
      </c>
      <c r="Q64" s="8">
        <v>0</v>
      </c>
      <c r="R64" s="5">
        <f>SUM(K64:Q64)</f>
        <v>6</v>
      </c>
      <c r="S64" s="3" t="s">
        <v>1161</v>
      </c>
    </row>
    <row r="65" spans="1:19" ht="186" customHeight="1">
      <c r="A65" s="3" t="s">
        <v>591</v>
      </c>
      <c r="B65" s="3" t="s">
        <v>1162</v>
      </c>
      <c r="C65" s="3" t="s">
        <v>1163</v>
      </c>
      <c r="D65" s="3" t="s">
        <v>1164</v>
      </c>
      <c r="E65" s="3" t="s">
        <v>240</v>
      </c>
      <c r="F65" s="3" t="s">
        <v>1165</v>
      </c>
      <c r="G65" s="3" t="s">
        <v>1166</v>
      </c>
      <c r="H65" s="3" t="s">
        <v>1167</v>
      </c>
      <c r="I65" s="3" t="s">
        <v>1168</v>
      </c>
      <c r="J65" s="5">
        <f>IF(R65&gt;=24,1,IF(R65&gt;=12,2,3))</f>
        <v>2</v>
      </c>
      <c r="K65" s="8">
        <v>1</v>
      </c>
      <c r="L65" s="8">
        <v>3</v>
      </c>
      <c r="M65" s="8">
        <v>5</v>
      </c>
      <c r="N65" s="8">
        <v>5</v>
      </c>
      <c r="O65" s="8">
        <v>3</v>
      </c>
      <c r="P65" s="8">
        <v>3</v>
      </c>
      <c r="Q65" s="8">
        <v>0</v>
      </c>
      <c r="R65" s="5">
        <f>SUM(K65:Q65)</f>
        <v>20</v>
      </c>
      <c r="S65" s="3" t="s">
        <v>1169</v>
      </c>
    </row>
    <row r="66" spans="1:19" ht="81.75" customHeight="1">
      <c r="A66" s="3" t="s">
        <v>591</v>
      </c>
      <c r="B66" s="3" t="s">
        <v>1170</v>
      </c>
      <c r="C66" s="3" t="s">
        <v>1171</v>
      </c>
      <c r="D66" s="3" t="s">
        <v>1172</v>
      </c>
      <c r="E66" s="3" t="s">
        <v>240</v>
      </c>
      <c r="F66" s="3" t="s">
        <v>1173</v>
      </c>
      <c r="G66" s="3" t="s">
        <v>1174</v>
      </c>
      <c r="H66" s="3" t="s">
        <v>1175</v>
      </c>
      <c r="I66" s="3" t="s">
        <v>1176</v>
      </c>
      <c r="J66" s="5">
        <f>IF(R66&gt;=24,1,IF(R66&gt;=12,2,3))</f>
        <v>2</v>
      </c>
      <c r="K66" s="8">
        <v>1</v>
      </c>
      <c r="L66" s="8">
        <v>3</v>
      </c>
      <c r="M66" s="8">
        <v>3</v>
      </c>
      <c r="N66" s="8">
        <v>3</v>
      </c>
      <c r="O66" s="8">
        <v>1</v>
      </c>
      <c r="P66" s="8">
        <v>1</v>
      </c>
      <c r="Q66" s="8">
        <v>0</v>
      </c>
      <c r="R66" s="5">
        <f>SUM(K66:Q66)</f>
        <v>12</v>
      </c>
      <c r="S66" s="3" t="s">
        <v>1177</v>
      </c>
    </row>
    <row r="67" spans="1:19" ht="56.25" customHeight="1">
      <c r="A67" s="3" t="s">
        <v>591</v>
      </c>
      <c r="B67" s="3" t="s">
        <v>1178</v>
      </c>
      <c r="C67" s="3" t="s">
        <v>1179</v>
      </c>
      <c r="D67" s="3" t="s">
        <v>1180</v>
      </c>
      <c r="E67" s="3" t="s">
        <v>1181</v>
      </c>
      <c r="F67" s="3" t="s">
        <v>1182</v>
      </c>
      <c r="G67" s="3" t="s">
        <v>1183</v>
      </c>
      <c r="H67" s="3" t="s">
        <v>1184</v>
      </c>
      <c r="I67" s="3" t="s">
        <v>1185</v>
      </c>
      <c r="J67" s="5">
        <f>IF(R67&gt;=24,1,IF(R67&gt;=12,2,3))</f>
        <v>2</v>
      </c>
      <c r="K67" s="8">
        <v>3</v>
      </c>
      <c r="L67" s="8">
        <v>3</v>
      </c>
      <c r="M67" s="8">
        <v>1</v>
      </c>
      <c r="N67" s="8">
        <v>5</v>
      </c>
      <c r="O67" s="8">
        <v>5</v>
      </c>
      <c r="P67" s="8">
        <v>3</v>
      </c>
      <c r="Q67" s="8">
        <v>0</v>
      </c>
      <c r="R67" s="5">
        <f>SUM(K67:Q67)</f>
        <v>20</v>
      </c>
      <c r="S67" s="3" t="s">
        <v>1186</v>
      </c>
    </row>
    <row r="68" spans="1:19" ht="42.75" customHeight="1">
      <c r="A68" s="3" t="s">
        <v>591</v>
      </c>
      <c r="B68" s="3" t="s">
        <v>1187</v>
      </c>
      <c r="C68" s="3" t="s">
        <v>1188</v>
      </c>
      <c r="D68" s="3" t="s">
        <v>1189</v>
      </c>
      <c r="E68" s="3" t="s">
        <v>240</v>
      </c>
      <c r="F68" s="3" t="s">
        <v>1190</v>
      </c>
      <c r="G68" s="3" t="s">
        <v>1191</v>
      </c>
      <c r="H68" s="3" t="s">
        <v>1192</v>
      </c>
      <c r="I68" s="3" t="s">
        <v>1193</v>
      </c>
      <c r="J68" s="5">
        <f>IF(R68&gt;=24,1,IF(R68&gt;=12,2,3))</f>
        <v>2</v>
      </c>
      <c r="K68" s="8">
        <v>1</v>
      </c>
      <c r="L68" s="8">
        <v>3</v>
      </c>
      <c r="M68" s="8">
        <v>3</v>
      </c>
      <c r="N68" s="8">
        <v>5</v>
      </c>
      <c r="O68" s="8">
        <v>1</v>
      </c>
      <c r="P68" s="8">
        <v>3</v>
      </c>
      <c r="Q68" s="8">
        <v>0</v>
      </c>
      <c r="R68" s="5">
        <f>SUM(K68:Q68)</f>
        <v>16</v>
      </c>
      <c r="S68" s="3" t="s">
        <v>1194</v>
      </c>
    </row>
    <row r="69" spans="1:19" ht="69" customHeight="1">
      <c r="A69" s="3" t="s">
        <v>591</v>
      </c>
      <c r="B69" s="3" t="s">
        <v>1195</v>
      </c>
      <c r="C69" s="3" t="s">
        <v>1196</v>
      </c>
      <c r="D69" s="3" t="s">
        <v>1197</v>
      </c>
      <c r="E69" s="3" t="s">
        <v>240</v>
      </c>
      <c r="F69" s="3" t="s">
        <v>1198</v>
      </c>
      <c r="G69" s="3" t="s">
        <v>1199</v>
      </c>
      <c r="H69" s="3" t="s">
        <v>1200</v>
      </c>
      <c r="I69" s="3" t="s">
        <v>1201</v>
      </c>
      <c r="J69" s="5">
        <f>IF(R69&gt;=24,1,IF(R69&gt;=12,2,3))</f>
        <v>2</v>
      </c>
      <c r="K69" s="8">
        <v>1</v>
      </c>
      <c r="L69" s="8">
        <v>3</v>
      </c>
      <c r="M69" s="8">
        <v>1</v>
      </c>
      <c r="N69" s="8">
        <v>5</v>
      </c>
      <c r="O69" s="8">
        <v>3</v>
      </c>
      <c r="P69" s="8">
        <v>3</v>
      </c>
      <c r="Q69" s="8">
        <v>0</v>
      </c>
      <c r="R69" s="5">
        <f>SUM(K69:Q69)</f>
        <v>16</v>
      </c>
      <c r="S69" s="3" t="s">
        <v>1202</v>
      </c>
    </row>
    <row r="70" spans="1:19" ht="95.25" customHeight="1">
      <c r="A70" s="3" t="s">
        <v>591</v>
      </c>
      <c r="B70" s="3" t="s">
        <v>1203</v>
      </c>
      <c r="C70" s="7" t="s">
        <v>1204</v>
      </c>
      <c r="D70" s="3" t="s">
        <v>1205</v>
      </c>
      <c r="E70" s="3" t="s">
        <v>240</v>
      </c>
      <c r="F70" s="3" t="s">
        <v>240</v>
      </c>
      <c r="G70" s="3" t="s">
        <v>1206</v>
      </c>
      <c r="H70" s="3" t="s">
        <v>1207</v>
      </c>
      <c r="I70" s="3" t="s">
        <v>1208</v>
      </c>
      <c r="J70" s="5">
        <f>IF(R70&gt;=24,1,IF(R70&gt;=12,2,3))</f>
        <v>2</v>
      </c>
      <c r="K70" s="8">
        <v>1</v>
      </c>
      <c r="L70" s="8">
        <v>5</v>
      </c>
      <c r="M70" s="8">
        <v>1</v>
      </c>
      <c r="N70" s="8">
        <v>5</v>
      </c>
      <c r="O70" s="8">
        <v>1</v>
      </c>
      <c r="P70" s="8">
        <v>3</v>
      </c>
      <c r="Q70" s="8">
        <v>0</v>
      </c>
      <c r="R70" s="5">
        <f>SUM(K70:Q70)</f>
        <v>16</v>
      </c>
      <c r="S70" s="3" t="s">
        <v>1209</v>
      </c>
    </row>
    <row r="71" spans="1:19" ht="56.25" customHeight="1">
      <c r="A71" s="3" t="s">
        <v>591</v>
      </c>
      <c r="B71" s="3" t="s">
        <v>1210</v>
      </c>
      <c r="C71" s="3" t="s">
        <v>1211</v>
      </c>
      <c r="D71" s="3" t="s">
        <v>1212</v>
      </c>
      <c r="E71" s="3" t="s">
        <v>240</v>
      </c>
      <c r="F71" s="3" t="s">
        <v>1213</v>
      </c>
      <c r="G71" s="3" t="s">
        <v>1214</v>
      </c>
      <c r="H71" s="3" t="s">
        <v>1215</v>
      </c>
      <c r="I71" s="3" t="s">
        <v>1216</v>
      </c>
      <c r="J71" s="5">
        <f>IF(R71&gt;=24,1,IF(R71&gt;=12,2,3))</f>
        <v>3</v>
      </c>
      <c r="K71" s="8">
        <v>1</v>
      </c>
      <c r="L71" s="8">
        <v>1</v>
      </c>
      <c r="M71" s="8">
        <v>1</v>
      </c>
      <c r="N71" s="8">
        <v>1</v>
      </c>
      <c r="O71" s="8">
        <v>1</v>
      </c>
      <c r="P71" s="8">
        <v>1</v>
      </c>
      <c r="Q71" s="8">
        <v>0</v>
      </c>
      <c r="R71" s="5">
        <f>SUM(K71:Q71)</f>
        <v>6</v>
      </c>
      <c r="S71" s="3" t="s">
        <v>1217</v>
      </c>
    </row>
    <row r="72" spans="1:19" ht="56.25" customHeight="1">
      <c r="A72" s="3" t="s">
        <v>591</v>
      </c>
      <c r="B72" s="3" t="s">
        <v>1218</v>
      </c>
      <c r="C72" s="3" t="s">
        <v>1219</v>
      </c>
      <c r="D72" s="3" t="s">
        <v>1220</v>
      </c>
      <c r="E72" s="3" t="s">
        <v>240</v>
      </c>
      <c r="F72" s="3" t="s">
        <v>1221</v>
      </c>
      <c r="G72" s="3" t="s">
        <v>1222</v>
      </c>
      <c r="H72" s="3" t="s">
        <v>1215</v>
      </c>
      <c r="I72" s="3" t="s">
        <v>884</v>
      </c>
      <c r="J72" s="5">
        <f>IF(R72&gt;=24,1,IF(R72&gt;=12,2,3))</f>
        <v>3</v>
      </c>
      <c r="K72" s="8">
        <v>1</v>
      </c>
      <c r="L72" s="8">
        <v>1</v>
      </c>
      <c r="M72" s="8">
        <v>1</v>
      </c>
      <c r="N72" s="8">
        <v>1</v>
      </c>
      <c r="O72" s="8">
        <v>1</v>
      </c>
      <c r="P72" s="8">
        <v>1</v>
      </c>
      <c r="Q72" s="8">
        <v>0</v>
      </c>
      <c r="R72" s="5">
        <f>SUM(K72:Q72)</f>
        <v>6</v>
      </c>
      <c r="S72" s="3" t="s">
        <v>1217</v>
      </c>
    </row>
    <row r="73" spans="1:19" ht="56.25" customHeight="1">
      <c r="A73" s="3" t="s">
        <v>591</v>
      </c>
      <c r="B73" s="3" t="s">
        <v>1223</v>
      </c>
      <c r="C73" s="3" t="s">
        <v>1219</v>
      </c>
      <c r="D73" s="3" t="s">
        <v>1224</v>
      </c>
      <c r="E73" s="3" t="s">
        <v>240</v>
      </c>
      <c r="F73" s="3" t="s">
        <v>1221</v>
      </c>
      <c r="G73" s="3" t="s">
        <v>1225</v>
      </c>
      <c r="H73" s="3" t="s">
        <v>1215</v>
      </c>
      <c r="I73" s="3" t="s">
        <v>1226</v>
      </c>
      <c r="J73" s="5">
        <f>IF(R73&gt;=24,1,IF(R73&gt;=12,2,3))</f>
        <v>3</v>
      </c>
      <c r="K73" s="8">
        <v>1</v>
      </c>
      <c r="L73" s="8">
        <v>1</v>
      </c>
      <c r="M73" s="8">
        <v>1</v>
      </c>
      <c r="N73" s="8">
        <v>1</v>
      </c>
      <c r="O73" s="8">
        <v>1</v>
      </c>
      <c r="P73" s="8">
        <v>1</v>
      </c>
      <c r="Q73" s="8">
        <v>0</v>
      </c>
      <c r="R73" s="5">
        <f>SUM(K73:Q73)</f>
        <v>6</v>
      </c>
      <c r="S73" s="3" t="s">
        <v>1217</v>
      </c>
    </row>
    <row r="74" spans="1:19" ht="56.25" customHeight="1">
      <c r="A74" s="3" t="s">
        <v>591</v>
      </c>
      <c r="B74" s="3" t="s">
        <v>1227</v>
      </c>
      <c r="C74" s="3" t="s">
        <v>1219</v>
      </c>
      <c r="D74" s="3" t="s">
        <v>1228</v>
      </c>
      <c r="E74" s="3" t="s">
        <v>240</v>
      </c>
      <c r="F74" s="3" t="s">
        <v>1221</v>
      </c>
      <c r="G74" s="3" t="s">
        <v>1229</v>
      </c>
      <c r="H74" s="3" t="s">
        <v>1215</v>
      </c>
      <c r="I74" s="3" t="s">
        <v>884</v>
      </c>
      <c r="J74" s="5">
        <f>IF(R74&gt;=24,1,IF(R74&gt;=12,2,3))</f>
        <v>3</v>
      </c>
      <c r="K74" s="8">
        <v>1</v>
      </c>
      <c r="L74" s="8">
        <v>1</v>
      </c>
      <c r="M74" s="8">
        <v>1</v>
      </c>
      <c r="N74" s="8">
        <v>1</v>
      </c>
      <c r="O74" s="8">
        <v>1</v>
      </c>
      <c r="P74" s="8">
        <v>1</v>
      </c>
      <c r="Q74" s="8">
        <v>0</v>
      </c>
      <c r="R74" s="5">
        <f>SUM(K74:Q74)</f>
        <v>6</v>
      </c>
      <c r="S74" s="3" t="s">
        <v>1217</v>
      </c>
    </row>
    <row r="75" spans="1:19" ht="42.75" customHeight="1">
      <c r="A75" s="3" t="s">
        <v>591</v>
      </c>
      <c r="B75" s="3" t="s">
        <v>1230</v>
      </c>
      <c r="C75" s="3" t="s">
        <v>1231</v>
      </c>
      <c r="D75" s="3" t="s">
        <v>1232</v>
      </c>
      <c r="E75" s="3" t="s">
        <v>240</v>
      </c>
      <c r="F75" s="3" t="s">
        <v>1221</v>
      </c>
      <c r="G75" s="3" t="s">
        <v>1233</v>
      </c>
      <c r="H75" s="3" t="s">
        <v>1215</v>
      </c>
      <c r="I75" s="3" t="s">
        <v>1234</v>
      </c>
      <c r="J75" s="5">
        <f>IF(R75&gt;=24,1,IF(R75&gt;=12,2,3))</f>
        <v>3</v>
      </c>
      <c r="K75" s="8">
        <v>1</v>
      </c>
      <c r="L75" s="8">
        <v>1</v>
      </c>
      <c r="M75" s="8">
        <v>1</v>
      </c>
      <c r="N75" s="8">
        <v>1</v>
      </c>
      <c r="O75" s="8">
        <v>1</v>
      </c>
      <c r="P75" s="8">
        <v>1</v>
      </c>
      <c r="Q75" s="8">
        <v>0</v>
      </c>
      <c r="R75" s="5">
        <f>SUM(K75:Q75)</f>
        <v>6</v>
      </c>
      <c r="S75" s="3" t="s">
        <v>1235</v>
      </c>
    </row>
    <row r="76" spans="1:19" ht="30" customHeight="1">
      <c r="A76" s="3" t="s">
        <v>591</v>
      </c>
      <c r="B76" s="3" t="s">
        <v>1236</v>
      </c>
      <c r="C76" s="3" t="s">
        <v>1237</v>
      </c>
      <c r="D76" s="3" t="s">
        <v>1238</v>
      </c>
      <c r="E76" s="3" t="s">
        <v>240</v>
      </c>
      <c r="F76" s="3" t="s">
        <v>1221</v>
      </c>
      <c r="G76" s="3" t="s">
        <v>1239</v>
      </c>
      <c r="H76" s="3" t="s">
        <v>1215</v>
      </c>
      <c r="I76" s="3" t="s">
        <v>1240</v>
      </c>
      <c r="J76" s="5">
        <f>IF(R76&gt;=24,1,IF(R76&gt;=12,2,3))</f>
        <v>3</v>
      </c>
      <c r="K76" s="8">
        <v>1</v>
      </c>
      <c r="L76" s="8">
        <v>1</v>
      </c>
      <c r="M76" s="8">
        <v>1</v>
      </c>
      <c r="N76" s="8">
        <v>1</v>
      </c>
      <c r="O76" s="8">
        <v>1</v>
      </c>
      <c r="P76" s="8">
        <v>1</v>
      </c>
      <c r="Q76" s="8">
        <v>0</v>
      </c>
      <c r="R76" s="5">
        <f>SUM(K76:Q76)</f>
        <v>6</v>
      </c>
      <c r="S76" s="3" t="s">
        <v>1235</v>
      </c>
    </row>
    <row r="77" spans="1:19" ht="30" customHeight="1">
      <c r="A77" s="3" t="s">
        <v>591</v>
      </c>
      <c r="B77" s="3" t="s">
        <v>1241</v>
      </c>
      <c r="C77" s="3" t="s">
        <v>1242</v>
      </c>
      <c r="D77" s="3" t="s">
        <v>1243</v>
      </c>
      <c r="E77" s="3" t="s">
        <v>240</v>
      </c>
      <c r="F77" s="3" t="s">
        <v>1244</v>
      </c>
      <c r="G77" s="3" t="s">
        <v>1245</v>
      </c>
      <c r="H77" s="3" t="s">
        <v>1215</v>
      </c>
      <c r="I77" s="3" t="s">
        <v>1246</v>
      </c>
      <c r="J77" s="5">
        <f>IF(R77&gt;=24,1,IF(R77&gt;=12,2,3))</f>
        <v>3</v>
      </c>
      <c r="K77" s="8">
        <v>1</v>
      </c>
      <c r="L77" s="8">
        <v>1</v>
      </c>
      <c r="M77" s="8">
        <v>1</v>
      </c>
      <c r="N77" s="8">
        <v>5</v>
      </c>
      <c r="O77" s="8">
        <v>1</v>
      </c>
      <c r="P77" s="8">
        <v>1</v>
      </c>
      <c r="Q77" s="8">
        <v>0</v>
      </c>
      <c r="R77" s="5">
        <f>SUM(K77:Q77)</f>
        <v>10</v>
      </c>
      <c r="S77" s="3" t="s">
        <v>1247</v>
      </c>
    </row>
    <row r="78" spans="1:19" ht="56.25" customHeight="1">
      <c r="A78" s="3" t="s">
        <v>591</v>
      </c>
      <c r="B78" s="3" t="s">
        <v>1248</v>
      </c>
      <c r="C78" s="3" t="s">
        <v>1249</v>
      </c>
      <c r="D78" s="3" t="s">
        <v>1250</v>
      </c>
      <c r="E78" s="3" t="s">
        <v>240</v>
      </c>
      <c r="F78" s="3" t="s">
        <v>1251</v>
      </c>
      <c r="G78" s="3" t="s">
        <v>1252</v>
      </c>
      <c r="H78" s="3" t="s">
        <v>1215</v>
      </c>
      <c r="I78" s="3" t="s">
        <v>1253</v>
      </c>
      <c r="J78" s="5">
        <f>IF(R78&gt;=24,1,IF(R78&gt;=12,2,3))</f>
        <v>3</v>
      </c>
      <c r="K78" s="8">
        <v>1</v>
      </c>
      <c r="L78" s="8">
        <v>1</v>
      </c>
      <c r="M78" s="8">
        <v>1</v>
      </c>
      <c r="N78" s="8">
        <v>1</v>
      </c>
      <c r="O78" s="8">
        <v>1</v>
      </c>
      <c r="P78" s="8">
        <v>1</v>
      </c>
      <c r="Q78" s="8">
        <v>0</v>
      </c>
      <c r="R78" s="5">
        <f>SUM(K78:Q78)</f>
        <v>6</v>
      </c>
      <c r="S78" s="3" t="s">
        <v>1254</v>
      </c>
    </row>
    <row r="79" spans="1:19" ht="42.75" customHeight="1">
      <c r="A79" s="3" t="s">
        <v>591</v>
      </c>
      <c r="B79" s="3" t="s">
        <v>1255</v>
      </c>
      <c r="C79" s="3" t="s">
        <v>1256</v>
      </c>
      <c r="D79" s="3" t="s">
        <v>1257</v>
      </c>
      <c r="E79" s="3" t="s">
        <v>240</v>
      </c>
      <c r="F79" s="3" t="s">
        <v>240</v>
      </c>
      <c r="G79" s="3" t="s">
        <v>1258</v>
      </c>
      <c r="H79" s="3" t="s">
        <v>1215</v>
      </c>
      <c r="I79" s="3" t="s">
        <v>1259</v>
      </c>
      <c r="J79" s="5">
        <f>IF(R79&gt;=24,1,IF(R79&gt;=12,2,3))</f>
        <v>3</v>
      </c>
      <c r="K79" s="8">
        <v>1</v>
      </c>
      <c r="L79" s="8">
        <v>1</v>
      </c>
      <c r="M79" s="8">
        <v>1</v>
      </c>
      <c r="N79" s="8">
        <v>1</v>
      </c>
      <c r="O79" s="8">
        <v>1</v>
      </c>
      <c r="P79" s="8">
        <v>1</v>
      </c>
      <c r="Q79" s="8">
        <v>0</v>
      </c>
      <c r="R79" s="5">
        <f>SUM(K79:Q79)</f>
        <v>6</v>
      </c>
      <c r="S79" s="3" t="s">
        <v>1247</v>
      </c>
    </row>
    <row r="80" spans="1:19" ht="69" customHeight="1">
      <c r="A80" s="3" t="s">
        <v>591</v>
      </c>
      <c r="B80" s="3" t="s">
        <v>1260</v>
      </c>
      <c r="C80" s="7" t="s">
        <v>1261</v>
      </c>
      <c r="D80" s="3" t="s">
        <v>1262</v>
      </c>
      <c r="E80" s="3" t="s">
        <v>240</v>
      </c>
      <c r="F80" s="3" t="s">
        <v>240</v>
      </c>
      <c r="G80" s="3" t="s">
        <v>1263</v>
      </c>
      <c r="H80" s="3" t="s">
        <v>1215</v>
      </c>
      <c r="I80" s="3" t="s">
        <v>1264</v>
      </c>
      <c r="J80" s="5">
        <f>IF(R80&gt;=24,1,IF(R80&gt;=12,2,3))</f>
        <v>3</v>
      </c>
      <c r="K80" s="8">
        <v>1</v>
      </c>
      <c r="L80" s="8">
        <v>3</v>
      </c>
      <c r="M80" s="8">
        <v>1</v>
      </c>
      <c r="N80" s="8">
        <v>3</v>
      </c>
      <c r="O80" s="8">
        <v>1</v>
      </c>
      <c r="P80" s="8">
        <v>1</v>
      </c>
      <c r="Q80" s="8">
        <v>0</v>
      </c>
      <c r="R80" s="5">
        <f>SUM(K80:Q80)</f>
        <v>10</v>
      </c>
      <c r="S80" s="3" t="s">
        <v>1265</v>
      </c>
    </row>
    <row r="81" spans="1:19" ht="42.75" customHeight="1">
      <c r="A81" s="3" t="s">
        <v>591</v>
      </c>
      <c r="B81" s="7" t="s">
        <v>1266</v>
      </c>
      <c r="C81" s="3" t="s">
        <v>1267</v>
      </c>
      <c r="D81" s="3" t="s">
        <v>1268</v>
      </c>
      <c r="E81" s="3" t="s">
        <v>240</v>
      </c>
      <c r="F81" s="3" t="s">
        <v>1269</v>
      </c>
      <c r="G81" s="3" t="s">
        <v>1270</v>
      </c>
      <c r="H81" s="3" t="s">
        <v>1215</v>
      </c>
      <c r="I81" s="3" t="s">
        <v>1271</v>
      </c>
      <c r="J81" s="5">
        <f>IF(R81&gt;=24,1,IF(R81&gt;=12,2,3))</f>
        <v>3</v>
      </c>
      <c r="K81" s="8">
        <v>1</v>
      </c>
      <c r="L81" s="8">
        <v>1</v>
      </c>
      <c r="M81" s="8">
        <v>3</v>
      </c>
      <c r="N81" s="8">
        <v>1</v>
      </c>
      <c r="O81" s="8">
        <v>1</v>
      </c>
      <c r="P81" s="8">
        <v>1</v>
      </c>
      <c r="Q81" s="8">
        <v>0</v>
      </c>
      <c r="R81" s="5">
        <f>SUM(K81:Q81)</f>
        <v>8</v>
      </c>
      <c r="S81" s="3" t="s">
        <v>1272</v>
      </c>
    </row>
    <row r="82" spans="1:19" ht="42.75" customHeight="1">
      <c r="A82" s="3" t="s">
        <v>591</v>
      </c>
      <c r="B82" s="3" t="s">
        <v>1273</v>
      </c>
      <c r="C82" s="3" t="s">
        <v>1274</v>
      </c>
      <c r="D82" s="3" t="s">
        <v>1275</v>
      </c>
      <c r="E82" s="3" t="s">
        <v>240</v>
      </c>
      <c r="F82" s="3" t="s">
        <v>1276</v>
      </c>
      <c r="G82" s="3" t="s">
        <v>1252</v>
      </c>
      <c r="H82" s="3" t="s">
        <v>1215</v>
      </c>
      <c r="I82" s="3" t="s">
        <v>1277</v>
      </c>
      <c r="J82" s="5">
        <f>IF(R82&gt;=24,1,IF(R82&gt;=12,2,3))</f>
        <v>3</v>
      </c>
      <c r="K82" s="8">
        <v>1</v>
      </c>
      <c r="L82" s="8">
        <v>1</v>
      </c>
      <c r="M82" s="8">
        <v>1</v>
      </c>
      <c r="N82" s="8">
        <v>3</v>
      </c>
      <c r="O82" s="8">
        <v>1</v>
      </c>
      <c r="P82" s="8">
        <v>1</v>
      </c>
      <c r="Q82" s="8">
        <v>0</v>
      </c>
      <c r="R82" s="5">
        <f>SUM(K82:Q82)</f>
        <v>8</v>
      </c>
      <c r="S82" s="3" t="s">
        <v>1278</v>
      </c>
    </row>
    <row r="83" spans="1:19" ht="56.25" customHeight="1">
      <c r="A83" s="3" t="s">
        <v>698</v>
      </c>
      <c r="B83" s="3" t="s">
        <v>1279</v>
      </c>
      <c r="C83" s="7" t="s">
        <v>1280</v>
      </c>
      <c r="D83" s="3" t="s">
        <v>1281</v>
      </c>
      <c r="E83" s="7" t="s">
        <v>1282</v>
      </c>
      <c r="F83" s="3" t="s">
        <v>1283</v>
      </c>
      <c r="G83" s="3" t="s">
        <v>1284</v>
      </c>
      <c r="H83" s="3" t="s">
        <v>1285</v>
      </c>
      <c r="I83" s="3" t="s">
        <v>1286</v>
      </c>
      <c r="J83" s="5">
        <f>IF(R83&gt;=24,1,IF(R83&gt;=12,2,3))</f>
        <v>2</v>
      </c>
      <c r="K83" s="8">
        <v>5</v>
      </c>
      <c r="L83" s="8">
        <v>3</v>
      </c>
      <c r="M83" s="8">
        <v>1</v>
      </c>
      <c r="N83" s="8">
        <v>5</v>
      </c>
      <c r="O83" s="8">
        <v>5</v>
      </c>
      <c r="P83" s="8">
        <v>3</v>
      </c>
      <c r="Q83" s="8">
        <v>0</v>
      </c>
      <c r="R83" s="5">
        <f>SUM(K83:Q83)</f>
        <v>22</v>
      </c>
      <c r="S83" s="3" t="s">
        <v>1287</v>
      </c>
    </row>
    <row r="84" spans="1:19" ht="81.75" customHeight="1">
      <c r="A84" s="3" t="s">
        <v>698</v>
      </c>
      <c r="B84" s="3" t="s">
        <v>1288</v>
      </c>
      <c r="C84" s="3" t="s">
        <v>1289</v>
      </c>
      <c r="D84" s="7" t="s">
        <v>1290</v>
      </c>
      <c r="E84" s="3" t="s">
        <v>240</v>
      </c>
      <c r="F84" s="7" t="s">
        <v>1291</v>
      </c>
      <c r="G84" s="3" t="s">
        <v>1292</v>
      </c>
      <c r="H84" s="3" t="s">
        <v>1293</v>
      </c>
      <c r="I84" s="3" t="s">
        <v>1294</v>
      </c>
      <c r="J84" s="5">
        <f>IF(R84&gt;=24,1,IF(R84&gt;=12,2,3))</f>
        <v>2</v>
      </c>
      <c r="K84" s="8">
        <v>1</v>
      </c>
      <c r="L84" s="8">
        <v>3</v>
      </c>
      <c r="M84" s="8">
        <v>5</v>
      </c>
      <c r="N84" s="8">
        <v>5</v>
      </c>
      <c r="O84" s="8">
        <v>1</v>
      </c>
      <c r="P84" s="8">
        <v>3</v>
      </c>
      <c r="Q84" s="8">
        <v>0</v>
      </c>
      <c r="R84" s="5">
        <f>SUM(K84:Q84)</f>
        <v>18</v>
      </c>
      <c r="S84" s="3" t="s">
        <v>1295</v>
      </c>
    </row>
    <row r="85" spans="1:19" ht="56.25" customHeight="1">
      <c r="A85" s="3" t="s">
        <v>698</v>
      </c>
      <c r="B85" s="3" t="s">
        <v>1296</v>
      </c>
      <c r="C85" s="7" t="s">
        <v>1297</v>
      </c>
      <c r="D85" s="3" t="s">
        <v>1298</v>
      </c>
      <c r="E85" s="3" t="s">
        <v>1299</v>
      </c>
      <c r="F85" s="3" t="s">
        <v>240</v>
      </c>
      <c r="G85" s="3" t="s">
        <v>1300</v>
      </c>
      <c r="H85" s="3" t="s">
        <v>257</v>
      </c>
      <c r="I85" s="3" t="s">
        <v>1301</v>
      </c>
      <c r="J85" s="5">
        <f>IF(R85&gt;=24,1,IF(R85&gt;=12,2,3))</f>
        <v>2</v>
      </c>
      <c r="K85" s="8">
        <v>1</v>
      </c>
      <c r="L85" s="8">
        <v>5</v>
      </c>
      <c r="M85" s="8">
        <v>1</v>
      </c>
      <c r="N85" s="8">
        <v>5</v>
      </c>
      <c r="O85" s="8">
        <v>1</v>
      </c>
      <c r="P85" s="8">
        <v>1</v>
      </c>
      <c r="Q85" s="8">
        <v>0</v>
      </c>
      <c r="R85" s="5">
        <f>SUM(K85:Q85)</f>
        <v>14</v>
      </c>
      <c r="S85" s="3" t="s">
        <v>1302</v>
      </c>
    </row>
    <row r="86" spans="1:19" ht="42.75" customHeight="1">
      <c r="A86" s="3" t="s">
        <v>698</v>
      </c>
      <c r="B86" s="3" t="s">
        <v>1303</v>
      </c>
      <c r="C86" s="3" t="s">
        <v>1304</v>
      </c>
      <c r="D86" s="3" t="s">
        <v>1305</v>
      </c>
      <c r="E86" s="3" t="s">
        <v>240</v>
      </c>
      <c r="F86" s="3" t="s">
        <v>1306</v>
      </c>
      <c r="G86" s="3" t="s">
        <v>1307</v>
      </c>
      <c r="H86" s="3" t="s">
        <v>1308</v>
      </c>
      <c r="I86" s="3" t="s">
        <v>1309</v>
      </c>
      <c r="J86" s="5">
        <f>IF(R86&gt;=24,1,IF(R86&gt;=12,2,3))</f>
        <v>2</v>
      </c>
      <c r="K86" s="8">
        <v>1</v>
      </c>
      <c r="L86" s="8">
        <v>3</v>
      </c>
      <c r="M86" s="8">
        <v>1</v>
      </c>
      <c r="N86" s="8">
        <v>5</v>
      </c>
      <c r="O86" s="8">
        <v>1</v>
      </c>
      <c r="P86" s="8">
        <v>1</v>
      </c>
      <c r="Q86" s="8">
        <v>0</v>
      </c>
      <c r="R86" s="5">
        <f>SUM(K86:Q86)</f>
        <v>12</v>
      </c>
      <c r="S86" s="3" t="s">
        <v>1310</v>
      </c>
    </row>
    <row r="87" spans="1:19" ht="56.25" customHeight="1">
      <c r="A87" s="3" t="s">
        <v>698</v>
      </c>
      <c r="B87" s="3" t="s">
        <v>1311</v>
      </c>
      <c r="C87" s="3" t="s">
        <v>1312</v>
      </c>
      <c r="D87" s="3" t="s">
        <v>1313</v>
      </c>
      <c r="E87" s="3" t="s">
        <v>240</v>
      </c>
      <c r="F87" s="3" t="s">
        <v>240</v>
      </c>
      <c r="G87" s="3" t="s">
        <v>1314</v>
      </c>
      <c r="H87" s="3" t="s">
        <v>257</v>
      </c>
      <c r="I87" s="3" t="s">
        <v>1315</v>
      </c>
      <c r="J87" s="5">
        <f>IF(R87&gt;=24,1,IF(R87&gt;=12,2,3))</f>
        <v>2</v>
      </c>
      <c r="K87" s="8">
        <v>1</v>
      </c>
      <c r="L87" s="8">
        <v>3</v>
      </c>
      <c r="M87" s="8">
        <v>1</v>
      </c>
      <c r="N87" s="8">
        <v>5</v>
      </c>
      <c r="O87" s="8">
        <v>1</v>
      </c>
      <c r="P87" s="8">
        <v>1</v>
      </c>
      <c r="Q87" s="8">
        <v>0</v>
      </c>
      <c r="R87" s="5">
        <f>SUM(K87:Q87)</f>
        <v>12</v>
      </c>
      <c r="S87" s="3" t="s">
        <v>1316</v>
      </c>
    </row>
    <row r="88" spans="1:19" ht="42.75" customHeight="1">
      <c r="A88" s="3" t="s">
        <v>698</v>
      </c>
      <c r="B88" s="3" t="s">
        <v>1317</v>
      </c>
      <c r="C88" s="3" t="s">
        <v>1318</v>
      </c>
      <c r="D88" s="7" t="s">
        <v>1319</v>
      </c>
      <c r="E88" s="3" t="s">
        <v>240</v>
      </c>
      <c r="F88" s="3" t="s">
        <v>1320</v>
      </c>
      <c r="G88" s="3" t="s">
        <v>1321</v>
      </c>
      <c r="H88" s="3" t="s">
        <v>257</v>
      </c>
      <c r="I88" s="3" t="s">
        <v>1322</v>
      </c>
      <c r="J88" s="5">
        <f>IF(R88&gt;=24,1,IF(R88&gt;=12,2,3))</f>
        <v>3</v>
      </c>
      <c r="K88" s="8">
        <v>1</v>
      </c>
      <c r="L88" s="8">
        <v>1</v>
      </c>
      <c r="M88" s="8">
        <v>3</v>
      </c>
      <c r="N88" s="8">
        <v>3</v>
      </c>
      <c r="O88" s="8">
        <v>1</v>
      </c>
      <c r="P88" s="8">
        <v>1</v>
      </c>
      <c r="Q88" s="8">
        <v>0</v>
      </c>
      <c r="R88" s="5">
        <f>SUM(K88:Q88)</f>
        <v>10</v>
      </c>
      <c r="S88" s="3" t="s">
        <v>1323</v>
      </c>
    </row>
    <row r="89" spans="1:19" ht="42.75" customHeight="1">
      <c r="A89" s="3" t="s">
        <v>698</v>
      </c>
      <c r="B89" s="3" t="s">
        <v>1324</v>
      </c>
      <c r="C89" s="7" t="s">
        <v>1325</v>
      </c>
      <c r="D89" s="3" t="s">
        <v>1326</v>
      </c>
      <c r="E89" s="3" t="s">
        <v>240</v>
      </c>
      <c r="F89" s="3" t="s">
        <v>240</v>
      </c>
      <c r="G89" s="3" t="s">
        <v>1327</v>
      </c>
      <c r="H89" s="3" t="s">
        <v>257</v>
      </c>
      <c r="I89" s="3" t="s">
        <v>1328</v>
      </c>
      <c r="J89" s="5">
        <f>IF(R89&gt;=24,1,IF(R89&gt;=12,2,3))</f>
        <v>3</v>
      </c>
      <c r="K89" s="8">
        <v>1</v>
      </c>
      <c r="L89" s="8">
        <v>3</v>
      </c>
      <c r="M89" s="8">
        <v>1</v>
      </c>
      <c r="N89" s="8">
        <v>3</v>
      </c>
      <c r="O89" s="8">
        <v>1</v>
      </c>
      <c r="P89" s="8">
        <v>1</v>
      </c>
      <c r="Q89" s="8">
        <v>0</v>
      </c>
      <c r="R89" s="5">
        <f>SUM(K89:Q89)</f>
        <v>10</v>
      </c>
      <c r="S89" s="3" t="s">
        <v>1329</v>
      </c>
    </row>
    <row r="90" spans="1:19" ht="56.25" customHeight="1">
      <c r="A90" s="3" t="s">
        <v>698</v>
      </c>
      <c r="B90" s="3" t="s">
        <v>1330</v>
      </c>
      <c r="C90" s="3" t="s">
        <v>1331</v>
      </c>
      <c r="D90" s="3" t="s">
        <v>1332</v>
      </c>
      <c r="E90" s="3" t="s">
        <v>240</v>
      </c>
      <c r="F90" s="3" t="s">
        <v>1333</v>
      </c>
      <c r="G90" s="3" t="s">
        <v>1334</v>
      </c>
      <c r="H90" s="3" t="s">
        <v>257</v>
      </c>
      <c r="I90" s="3" t="s">
        <v>1335</v>
      </c>
      <c r="J90" s="5">
        <f>IF(R90&gt;=24,1,IF(R90&gt;=12,2,3))</f>
        <v>3</v>
      </c>
      <c r="K90" s="8">
        <v>1</v>
      </c>
      <c r="L90" s="8">
        <v>1</v>
      </c>
      <c r="M90" s="8">
        <v>1</v>
      </c>
      <c r="N90" s="8">
        <v>3</v>
      </c>
      <c r="O90" s="8">
        <v>1</v>
      </c>
      <c r="P90" s="8">
        <v>1</v>
      </c>
      <c r="Q90" s="8">
        <v>0</v>
      </c>
      <c r="R90" s="5">
        <f>SUM(K90:Q90)</f>
        <v>8</v>
      </c>
      <c r="S90" s="3" t="s">
        <v>1336</v>
      </c>
    </row>
    <row r="91" spans="1:19" ht="42.75" customHeight="1">
      <c r="A91" s="3" t="s">
        <v>698</v>
      </c>
      <c r="B91" s="3" t="s">
        <v>1337</v>
      </c>
      <c r="C91" s="7" t="s">
        <v>1338</v>
      </c>
      <c r="D91" s="3" t="s">
        <v>1339</v>
      </c>
      <c r="E91" s="3" t="s">
        <v>240</v>
      </c>
      <c r="F91" s="3" t="s">
        <v>240</v>
      </c>
      <c r="G91" s="3" t="s">
        <v>1334</v>
      </c>
      <c r="H91" s="3" t="s">
        <v>257</v>
      </c>
      <c r="I91" s="3" t="s">
        <v>1340</v>
      </c>
      <c r="J91" s="5">
        <f>IF(R91&gt;=24,1,IF(R91&gt;=12,2,3))</f>
        <v>3</v>
      </c>
      <c r="K91" s="8">
        <v>1</v>
      </c>
      <c r="L91" s="8">
        <v>1</v>
      </c>
      <c r="M91" s="8">
        <v>1</v>
      </c>
      <c r="N91" s="8">
        <v>3</v>
      </c>
      <c r="O91" s="8">
        <v>1</v>
      </c>
      <c r="P91" s="8">
        <v>1</v>
      </c>
      <c r="Q91" s="8">
        <v>0</v>
      </c>
      <c r="R91" s="5">
        <f>SUM(K91:Q91)</f>
        <v>8</v>
      </c>
      <c r="S91" s="3" t="s">
        <v>1341</v>
      </c>
    </row>
    <row r="92" spans="1:19" ht="42.75" customHeight="1">
      <c r="A92" s="3" t="s">
        <v>698</v>
      </c>
      <c r="B92" s="3" t="s">
        <v>1342</v>
      </c>
      <c r="C92" s="3" t="s">
        <v>1343</v>
      </c>
      <c r="D92" s="3" t="s">
        <v>1344</v>
      </c>
      <c r="E92" s="3" t="s">
        <v>240</v>
      </c>
      <c r="F92" s="3" t="s">
        <v>240</v>
      </c>
      <c r="G92" s="3" t="s">
        <v>1345</v>
      </c>
      <c r="H92" s="3" t="s">
        <v>257</v>
      </c>
      <c r="I92" s="3" t="s">
        <v>1346</v>
      </c>
      <c r="J92" s="5">
        <f>IF(R92&gt;=24,1,IF(R92&gt;=12,2,3))</f>
        <v>3</v>
      </c>
      <c r="K92" s="8">
        <v>1</v>
      </c>
      <c r="L92" s="8">
        <v>1</v>
      </c>
      <c r="M92" s="8">
        <v>1</v>
      </c>
      <c r="N92" s="8">
        <v>3</v>
      </c>
      <c r="O92" s="8">
        <v>1</v>
      </c>
      <c r="P92" s="8">
        <v>1</v>
      </c>
      <c r="Q92" s="8">
        <v>0</v>
      </c>
      <c r="R92" s="5">
        <f>SUM(K92:Q92)</f>
        <v>8</v>
      </c>
      <c r="S92" s="3" t="s">
        <v>1347</v>
      </c>
    </row>
    <row r="93" spans="1:19" ht="30" customHeight="1">
      <c r="A93" s="3" t="s">
        <v>698</v>
      </c>
      <c r="B93" s="3" t="s">
        <v>1348</v>
      </c>
      <c r="C93" s="3" t="s">
        <v>1349</v>
      </c>
      <c r="D93" s="3" t="s">
        <v>1350</v>
      </c>
      <c r="E93" s="3" t="s">
        <v>240</v>
      </c>
      <c r="F93" s="3" t="s">
        <v>240</v>
      </c>
      <c r="G93" s="3" t="s">
        <v>1351</v>
      </c>
      <c r="H93" s="3" t="s">
        <v>257</v>
      </c>
      <c r="I93" s="3" t="s">
        <v>884</v>
      </c>
      <c r="J93" s="5">
        <f>IF(R93&gt;=24,1,IF(R93&gt;=12,2,3))</f>
        <v>3</v>
      </c>
      <c r="K93" s="8">
        <v>1</v>
      </c>
      <c r="L93" s="8">
        <v>3</v>
      </c>
      <c r="M93" s="8">
        <v>1</v>
      </c>
      <c r="N93" s="8">
        <v>1</v>
      </c>
      <c r="O93" s="8">
        <v>1</v>
      </c>
      <c r="P93" s="8">
        <v>1</v>
      </c>
      <c r="Q93" s="8">
        <v>0</v>
      </c>
      <c r="R93" s="5">
        <f>SUM(K93:Q93)</f>
        <v>8</v>
      </c>
      <c r="S93" s="3" t="s">
        <v>1352</v>
      </c>
    </row>
    <row r="94" spans="1:19" ht="42.75" customHeight="1">
      <c r="A94" s="3" t="s">
        <v>698</v>
      </c>
      <c r="B94" s="3" t="s">
        <v>1353</v>
      </c>
      <c r="C94" s="7" t="s">
        <v>1354</v>
      </c>
      <c r="D94" s="3" t="s">
        <v>1355</v>
      </c>
      <c r="E94" s="3" t="s">
        <v>240</v>
      </c>
      <c r="F94" s="3" t="s">
        <v>240</v>
      </c>
      <c r="G94" s="3" t="s">
        <v>1356</v>
      </c>
      <c r="H94" s="3" t="s">
        <v>257</v>
      </c>
      <c r="I94" s="3" t="s">
        <v>1357</v>
      </c>
      <c r="J94" s="5">
        <f>IF(R94&gt;=24,1,IF(R94&gt;=12,2,3))</f>
        <v>3</v>
      </c>
      <c r="K94" s="8">
        <v>1</v>
      </c>
      <c r="L94" s="8">
        <v>3</v>
      </c>
      <c r="M94" s="8">
        <v>1</v>
      </c>
      <c r="N94" s="8">
        <v>1</v>
      </c>
      <c r="O94" s="8">
        <v>1</v>
      </c>
      <c r="P94" s="8">
        <v>1</v>
      </c>
      <c r="Q94" s="8">
        <v>0</v>
      </c>
      <c r="R94" s="5">
        <f>SUM(K94:Q94)</f>
        <v>8</v>
      </c>
      <c r="S94" s="3" t="s">
        <v>1358</v>
      </c>
    </row>
    <row r="95" spans="1:19" ht="69" customHeight="1">
      <c r="A95" s="3" t="s">
        <v>698</v>
      </c>
      <c r="B95" s="3" t="s">
        <v>1359</v>
      </c>
      <c r="C95" s="3" t="s">
        <v>1360</v>
      </c>
      <c r="D95" s="3" t="s">
        <v>1361</v>
      </c>
      <c r="E95" s="3" t="s">
        <v>240</v>
      </c>
      <c r="F95" s="3" t="s">
        <v>1362</v>
      </c>
      <c r="G95" s="3" t="s">
        <v>1363</v>
      </c>
      <c r="H95" s="3" t="s">
        <v>257</v>
      </c>
      <c r="I95" s="3" t="s">
        <v>1364</v>
      </c>
      <c r="J95" s="5">
        <f>IF(R95&gt;=24,1,IF(R95&gt;=12,2,3))</f>
        <v>3</v>
      </c>
      <c r="K95" s="8">
        <v>1</v>
      </c>
      <c r="L95" s="8">
        <v>1</v>
      </c>
      <c r="M95" s="8">
        <v>1</v>
      </c>
      <c r="N95" s="8">
        <v>3</v>
      </c>
      <c r="O95" s="8">
        <v>1</v>
      </c>
      <c r="P95" s="8">
        <v>1</v>
      </c>
      <c r="Q95" s="8">
        <v>0</v>
      </c>
      <c r="R95" s="5">
        <f>SUM(K95:Q95)</f>
        <v>8</v>
      </c>
      <c r="S95" s="3" t="s">
        <v>1365</v>
      </c>
    </row>
    <row r="96" spans="1:19" ht="69" customHeight="1">
      <c r="A96" s="3" t="s">
        <v>698</v>
      </c>
      <c r="B96" s="3" t="s">
        <v>1366</v>
      </c>
      <c r="C96" s="3" t="s">
        <v>1367</v>
      </c>
      <c r="D96" s="3" t="s">
        <v>1368</v>
      </c>
      <c r="E96" s="3" t="s">
        <v>240</v>
      </c>
      <c r="F96" s="3" t="s">
        <v>1362</v>
      </c>
      <c r="G96" s="3" t="s">
        <v>1369</v>
      </c>
      <c r="H96" s="3" t="s">
        <v>257</v>
      </c>
      <c r="I96" s="3" t="s">
        <v>1370</v>
      </c>
      <c r="J96" s="5">
        <f>IF(R96&gt;=24,1,IF(R96&gt;=12,2,3))</f>
        <v>3</v>
      </c>
      <c r="K96" s="8">
        <v>1</v>
      </c>
      <c r="L96" s="8">
        <v>1</v>
      </c>
      <c r="M96" s="8">
        <v>1</v>
      </c>
      <c r="N96" s="8">
        <v>3</v>
      </c>
      <c r="O96" s="8">
        <v>1</v>
      </c>
      <c r="P96" s="8">
        <v>1</v>
      </c>
      <c r="Q96" s="8">
        <v>0</v>
      </c>
      <c r="R96" s="5">
        <f>SUM(K96:Q96)</f>
        <v>8</v>
      </c>
      <c r="S96" s="3" t="s">
        <v>1371</v>
      </c>
    </row>
    <row r="97" spans="1:19" ht="30" customHeight="1">
      <c r="A97" s="3" t="s">
        <v>698</v>
      </c>
      <c r="B97" s="3" t="s">
        <v>1372</v>
      </c>
      <c r="C97" s="3" t="s">
        <v>1349</v>
      </c>
      <c r="D97" s="3" t="s">
        <v>1373</v>
      </c>
      <c r="E97" s="3" t="s">
        <v>240</v>
      </c>
      <c r="F97" s="3" t="s">
        <v>240</v>
      </c>
      <c r="G97" s="3" t="s">
        <v>1374</v>
      </c>
      <c r="H97" s="3" t="s">
        <v>257</v>
      </c>
      <c r="I97" s="3" t="s">
        <v>884</v>
      </c>
      <c r="J97" s="5">
        <f>IF(R97&gt;=24,1,IF(R97&gt;=12,2,3))</f>
        <v>3</v>
      </c>
      <c r="K97" s="8">
        <v>1</v>
      </c>
      <c r="L97" s="8">
        <v>1</v>
      </c>
      <c r="M97" s="8">
        <v>1</v>
      </c>
      <c r="N97" s="8">
        <v>1</v>
      </c>
      <c r="O97" s="8">
        <v>1</v>
      </c>
      <c r="P97" s="8">
        <v>1</v>
      </c>
      <c r="Q97" s="8">
        <v>0</v>
      </c>
      <c r="R97" s="5">
        <f>SUM(K97:Q97)</f>
        <v>6</v>
      </c>
      <c r="S97" s="3" t="s">
        <v>1375</v>
      </c>
    </row>
    <row r="98" spans="1:19" ht="42.75" customHeight="1">
      <c r="A98" s="3" t="s">
        <v>698</v>
      </c>
      <c r="B98" s="3" t="s">
        <v>1376</v>
      </c>
      <c r="C98" s="3" t="s">
        <v>1377</v>
      </c>
      <c r="D98" s="3" t="s">
        <v>1378</v>
      </c>
      <c r="E98" s="3" t="s">
        <v>240</v>
      </c>
      <c r="F98" s="3" t="s">
        <v>240</v>
      </c>
      <c r="G98" s="3" t="s">
        <v>1379</v>
      </c>
      <c r="H98" s="3" t="s">
        <v>257</v>
      </c>
      <c r="I98" s="3" t="s">
        <v>1380</v>
      </c>
      <c r="J98" s="5">
        <f>IF(R98&gt;=24,1,IF(R98&gt;=12,2,3))</f>
        <v>3</v>
      </c>
      <c r="K98" s="8">
        <v>1</v>
      </c>
      <c r="L98" s="8">
        <v>1</v>
      </c>
      <c r="M98" s="8">
        <v>1</v>
      </c>
      <c r="N98" s="8">
        <v>1</v>
      </c>
      <c r="O98" s="8">
        <v>1</v>
      </c>
      <c r="P98" s="8">
        <v>1</v>
      </c>
      <c r="Q98" s="8">
        <v>0</v>
      </c>
      <c r="R98" s="5">
        <f>SUM(K98:Q98)</f>
        <v>6</v>
      </c>
      <c r="S98" s="3" t="s">
        <v>1341</v>
      </c>
    </row>
    <row r="99" spans="1:19" ht="30" customHeight="1">
      <c r="A99" s="3" t="s">
        <v>698</v>
      </c>
      <c r="B99" s="3" t="s">
        <v>1381</v>
      </c>
      <c r="C99" s="7" t="s">
        <v>1382</v>
      </c>
      <c r="D99" s="3" t="s">
        <v>1383</v>
      </c>
      <c r="E99" s="3" t="s">
        <v>240</v>
      </c>
      <c r="F99" s="3" t="s">
        <v>240</v>
      </c>
      <c r="G99" s="3" t="s">
        <v>1374</v>
      </c>
      <c r="H99" s="3" t="s">
        <v>257</v>
      </c>
      <c r="I99" s="3" t="s">
        <v>1384</v>
      </c>
      <c r="J99" s="5">
        <f>IF(R99&gt;=24,1,IF(R99&gt;=12,2,3))</f>
        <v>3</v>
      </c>
      <c r="K99" s="8">
        <v>1</v>
      </c>
      <c r="L99" s="8">
        <v>1</v>
      </c>
      <c r="M99" s="8">
        <v>1</v>
      </c>
      <c r="N99" s="8">
        <v>1</v>
      </c>
      <c r="O99" s="8">
        <v>1</v>
      </c>
      <c r="P99" s="8">
        <v>1</v>
      </c>
      <c r="Q99" s="8">
        <v>0</v>
      </c>
      <c r="R99" s="5">
        <f>SUM(K99:Q99)</f>
        <v>6</v>
      </c>
      <c r="S99" s="3" t="s">
        <v>1375</v>
      </c>
    </row>
  </sheetData>
  <mergeCells count="1">
    <mergeCell ref="A1:S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58482-9180-4E04-A341-E4F177295BE2}">
  <dimension ref="A1:G38"/>
  <sheetViews>
    <sheetView workbookViewId="0">
      <pane ySplit="1" topLeftCell="A2" activePane="bottomLeft" state="frozen"/>
      <selection pane="bottomLeft"/>
    </sheetView>
  </sheetViews>
  <sheetFormatPr defaultRowHeight="15"/>
  <cols>
    <col min="1" max="1" width="58.7109375" customWidth="1"/>
    <col min="2" max="5" width="12.7109375" customWidth="1"/>
    <col min="6" max="6" width="16.7109375" customWidth="1"/>
    <col min="7" max="7" width="95.7109375" customWidth="1"/>
  </cols>
  <sheetData>
    <row r="1" spans="1:7" ht="24" customHeight="1">
      <c r="A1" s="10" t="s">
        <v>1385</v>
      </c>
      <c r="B1" s="10"/>
      <c r="C1" s="10"/>
      <c r="D1" s="10"/>
      <c r="E1" s="10"/>
      <c r="F1" s="10"/>
      <c r="G1" s="10"/>
    </row>
    <row r="3" spans="1:7" ht="24" customHeight="1">
      <c r="A3" s="10" t="s">
        <v>1386</v>
      </c>
      <c r="B3" s="10"/>
      <c r="C3" s="10"/>
      <c r="D3" s="10"/>
      <c r="E3" s="10"/>
      <c r="F3" s="10"/>
      <c r="G3" s="10"/>
    </row>
    <row r="4" spans="1:7" ht="35.25" customHeight="1">
      <c r="A4" s="2" t="s">
        <v>175</v>
      </c>
      <c r="B4" s="2" t="s">
        <v>1387</v>
      </c>
      <c r="C4" s="2" t="s">
        <v>1388</v>
      </c>
      <c r="D4" s="2" t="s">
        <v>1389</v>
      </c>
      <c r="E4" s="2" t="s">
        <v>1390</v>
      </c>
      <c r="F4" s="2" t="s">
        <v>1391</v>
      </c>
      <c r="G4" s="2" t="s">
        <v>182</v>
      </c>
    </row>
    <row r="5" spans="1:7" ht="42.75" customHeight="1">
      <c r="A5" s="4" t="s">
        <v>183</v>
      </c>
      <c r="B5" s="13">
        <f>COUNTIFS(Country_Centres!$A$3:$A$97,$A5,Country_Centres!$B$3:$B$97,1)</f>
        <v>3</v>
      </c>
      <c r="C5" s="13">
        <f>COUNTIFS(Country_Centres!$A$3:$A$97,$A5,Country_Centres!$B$3:$B$97,2)</f>
        <v>4</v>
      </c>
      <c r="D5" s="13">
        <f>COUNTIFS(Country_Centres!$A$3:$A$97,$A5,Country_Centres!$B$3:$B$97,3)</f>
        <v>10</v>
      </c>
      <c r="E5" s="13">
        <f>COUNTIFS(Country_Centres!$A$3:$A$97,$A5,Country_Centres!$B$3:$B$97,4)</f>
        <v>0</v>
      </c>
      <c r="F5" s="16">
        <f>COUNTIF(Country_Centres!$A$3:$A$97,$A5)</f>
        <v>17</v>
      </c>
      <c r="G5" s="3" t="s">
        <v>1392</v>
      </c>
    </row>
    <row r="6" spans="1:7" ht="81.75" customHeight="1">
      <c r="A6" s="4" t="s">
        <v>303</v>
      </c>
      <c r="B6" s="13">
        <f>COUNTIFS(Country_Centres!$A$3:$A$97,$A6,Country_Centres!$B$3:$B$97,1)</f>
        <v>3</v>
      </c>
      <c r="C6" s="13">
        <f>COUNTIFS(Country_Centres!$A$3:$A$97,$A6,Country_Centres!$B$3:$B$97,2)</f>
        <v>4</v>
      </c>
      <c r="D6" s="13">
        <f>COUNTIFS(Country_Centres!$A$3:$A$97,$A6,Country_Centres!$B$3:$B$97,3)</f>
        <v>10</v>
      </c>
      <c r="E6" s="13">
        <f>COUNTIFS(Country_Centres!$A$3:$A$97,$A6,Country_Centres!$B$3:$B$97,4)</f>
        <v>0</v>
      </c>
      <c r="F6" s="16">
        <f>COUNTIF(Country_Centres!$A$3:$A$97,$A6)</f>
        <v>17</v>
      </c>
      <c r="G6" s="3" t="s">
        <v>1393</v>
      </c>
    </row>
    <row r="7" spans="1:7" ht="95.25" customHeight="1">
      <c r="A7" s="4" t="s">
        <v>433</v>
      </c>
      <c r="B7" s="13">
        <f>COUNTIFS(Country_Centres!$A$3:$A$97,$A7,Country_Centres!$B$3:$B$97,1)</f>
        <v>1</v>
      </c>
      <c r="C7" s="13">
        <f>COUNTIFS(Country_Centres!$A$3:$A$97,$A7,Country_Centres!$B$3:$B$97,2)</f>
        <v>11</v>
      </c>
      <c r="D7" s="13">
        <f>COUNTIFS(Country_Centres!$A$3:$A$97,$A7,Country_Centres!$B$3:$B$97,3)</f>
        <v>16</v>
      </c>
      <c r="E7" s="13">
        <f>COUNTIFS(Country_Centres!$A$3:$A$97,$A7,Country_Centres!$B$3:$B$97,4)</f>
        <v>0</v>
      </c>
      <c r="F7" s="16">
        <f>COUNTIF(Country_Centres!$A$3:$A$97,$A7)</f>
        <v>28</v>
      </c>
      <c r="G7" s="3" t="s">
        <v>1394</v>
      </c>
    </row>
    <row r="8" spans="1:7" ht="81.75" customHeight="1">
      <c r="A8" s="4" t="s">
        <v>591</v>
      </c>
      <c r="B8" s="13">
        <f>COUNTIFS(Country_Centres!$A$3:$A$97,$A8,Country_Centres!$B$3:$B$97,1)</f>
        <v>0</v>
      </c>
      <c r="C8" s="13">
        <f>COUNTIFS(Country_Centres!$A$3:$A$97,$A8,Country_Centres!$B$3:$B$97,2)</f>
        <v>5</v>
      </c>
      <c r="D8" s="13">
        <f>COUNTIFS(Country_Centres!$A$3:$A$97,$A8,Country_Centres!$B$3:$B$97,3)</f>
        <v>12</v>
      </c>
      <c r="E8" s="13">
        <f>COUNTIFS(Country_Centres!$A$3:$A$97,$A8,Country_Centres!$B$3:$B$97,4)</f>
        <v>0</v>
      </c>
      <c r="F8" s="16">
        <f>COUNTIF(Country_Centres!$A$3:$A$97,$A8)</f>
        <v>17</v>
      </c>
      <c r="G8" s="3" t="s">
        <v>1395</v>
      </c>
    </row>
    <row r="9" spans="1:7" ht="81.75" customHeight="1">
      <c r="A9" s="4" t="s">
        <v>698</v>
      </c>
      <c r="B9" s="13">
        <f>COUNTIFS(Country_Centres!$A$3:$A$97,$A9,Country_Centres!$B$3:$B$97,1)</f>
        <v>1</v>
      </c>
      <c r="C9" s="13">
        <f>COUNTIFS(Country_Centres!$A$3:$A$97,$A9,Country_Centres!$B$3:$B$97,2)</f>
        <v>4</v>
      </c>
      <c r="D9" s="13">
        <f>COUNTIFS(Country_Centres!$A$3:$A$97,$A9,Country_Centres!$B$3:$B$97,3)</f>
        <v>11</v>
      </c>
      <c r="E9" s="13">
        <f>COUNTIFS(Country_Centres!$A$3:$A$97,$A9,Country_Centres!$B$3:$B$97,4)</f>
        <v>0</v>
      </c>
      <c r="F9" s="16">
        <f>COUNTIF(Country_Centres!$A$3:$A$97,$A9)</f>
        <v>16</v>
      </c>
      <c r="G9" s="3" t="s">
        <v>1396</v>
      </c>
    </row>
    <row r="10" spans="1:7" ht="30" customHeight="1">
      <c r="A10" s="17" t="s">
        <v>1397</v>
      </c>
      <c r="B10" s="18">
        <f>SUM(B5:B9)</f>
        <v>8</v>
      </c>
      <c r="C10" s="18">
        <f>SUM(C5:C9)</f>
        <v>28</v>
      </c>
      <c r="D10" s="18">
        <f>SUM(D5:D9)</f>
        <v>59</v>
      </c>
      <c r="E10" s="18">
        <f>SUM(E5:E9)</f>
        <v>0</v>
      </c>
      <c r="F10" s="18">
        <f>SUM(F5:F9)</f>
        <v>95</v>
      </c>
      <c r="G10" s="17" t="str">
        <f>"Tier 4 not enumerated — not requested. Reconciles with Country_Centres row count: "&amp;IF(F10=COUNTA(Country_Centres!$D$3:$D$97),"YES","NO — check")</f>
        <v>Tier 4 not enumerated — not requested. Reconciles with Country_Centres row count: YES</v>
      </c>
    </row>
    <row r="11" spans="1:7">
      <c r="A11" s="12"/>
      <c r="B11" s="12"/>
      <c r="C11" s="12"/>
      <c r="D11" s="12"/>
      <c r="E11" s="12"/>
      <c r="F11" s="12"/>
      <c r="G11" s="12"/>
    </row>
    <row r="12" spans="1:7" ht="24" customHeight="1">
      <c r="A12" s="10" t="s">
        <v>1398</v>
      </c>
      <c r="B12" s="10"/>
      <c r="C12" s="10"/>
      <c r="D12" s="10"/>
      <c r="E12" s="10"/>
      <c r="F12" s="10"/>
      <c r="G12" s="10"/>
    </row>
    <row r="13" spans="1:7" ht="35.25" customHeight="1">
      <c r="A13" s="2" t="s">
        <v>175</v>
      </c>
      <c r="B13" s="2" t="s">
        <v>1387</v>
      </c>
      <c r="C13" s="2" t="s">
        <v>1388</v>
      </c>
      <c r="D13" s="2" t="s">
        <v>1389</v>
      </c>
      <c r="E13" s="2" t="s">
        <v>1391</v>
      </c>
      <c r="F13" s="11" t="s">
        <v>182</v>
      </c>
      <c r="G13" s="11"/>
    </row>
    <row r="14" spans="1:7" ht="30" customHeight="1">
      <c r="A14" s="4" t="s">
        <v>183</v>
      </c>
      <c r="B14" s="13">
        <f>COUNTIFS(KOL_Roster!$A$3:$A$99,$A14,KOL_Roster!$J$3:$J$99,1)</f>
        <v>0</v>
      </c>
      <c r="C14" s="13">
        <f>COUNTIFS(KOL_Roster!$A$3:$A$99,$A14,KOL_Roster!$J$3:$J$99,2)</f>
        <v>6</v>
      </c>
      <c r="D14" s="13">
        <f>COUNTIFS(KOL_Roster!$A$3:$A$99,$A14,KOL_Roster!$J$3:$J$99,3)</f>
        <v>13</v>
      </c>
      <c r="E14" s="16">
        <f>COUNTIF(KOL_Roster!$A$3:$A$99,$A14)</f>
        <v>19</v>
      </c>
      <c r="F14" s="15" t="s">
        <v>1399</v>
      </c>
      <c r="G14" s="14"/>
    </row>
    <row r="15" spans="1:7" ht="42.75" customHeight="1">
      <c r="A15" s="4" t="s">
        <v>303</v>
      </c>
      <c r="B15" s="13">
        <f>COUNTIFS(KOL_Roster!$A$3:$A$99,$A15,KOL_Roster!$J$3:$J$99,1)</f>
        <v>0</v>
      </c>
      <c r="C15" s="13">
        <f>COUNTIFS(KOL_Roster!$A$3:$A$99,$A15,KOL_Roster!$J$3:$J$99,2)</f>
        <v>8</v>
      </c>
      <c r="D15" s="13">
        <f>COUNTIFS(KOL_Roster!$A$3:$A$99,$A15,KOL_Roster!$J$3:$J$99,3)</f>
        <v>12</v>
      </c>
      <c r="E15" s="16">
        <f>COUNTIF(KOL_Roster!$A$3:$A$99,$A15)</f>
        <v>20</v>
      </c>
      <c r="F15" s="15" t="s">
        <v>1400</v>
      </c>
      <c r="G15" s="14"/>
    </row>
    <row r="16" spans="1:7" ht="42.75" customHeight="1">
      <c r="A16" s="4" t="s">
        <v>433</v>
      </c>
      <c r="B16" s="13">
        <f>COUNTIFS(KOL_Roster!$A$3:$A$99,$A16,KOL_Roster!$J$3:$J$99,1)</f>
        <v>0</v>
      </c>
      <c r="C16" s="13">
        <f>COUNTIFS(KOL_Roster!$A$3:$A$99,$A16,KOL_Roster!$J$3:$J$99,2)</f>
        <v>8</v>
      </c>
      <c r="D16" s="13">
        <f>COUNTIFS(KOL_Roster!$A$3:$A$99,$A16,KOL_Roster!$J$3:$J$99,3)</f>
        <v>15</v>
      </c>
      <c r="E16" s="16">
        <f>COUNTIF(KOL_Roster!$A$3:$A$99,$A16)</f>
        <v>23</v>
      </c>
      <c r="F16" s="15" t="s">
        <v>1401</v>
      </c>
      <c r="G16" s="14"/>
    </row>
    <row r="17" spans="1:7" ht="42.75" customHeight="1">
      <c r="A17" s="4" t="s">
        <v>591</v>
      </c>
      <c r="B17" s="13">
        <f>COUNTIFS(KOL_Roster!$A$3:$A$99,$A17,KOL_Roster!$J$3:$J$99,1)</f>
        <v>0</v>
      </c>
      <c r="C17" s="13">
        <f>COUNTIFS(KOL_Roster!$A$3:$A$99,$A17,KOL_Roster!$J$3:$J$99,2)</f>
        <v>6</v>
      </c>
      <c r="D17" s="13">
        <f>COUNTIFS(KOL_Roster!$A$3:$A$99,$A17,KOL_Roster!$J$3:$J$99,3)</f>
        <v>12</v>
      </c>
      <c r="E17" s="16">
        <f>COUNTIF(KOL_Roster!$A$3:$A$99,$A17)</f>
        <v>18</v>
      </c>
      <c r="F17" s="15" t="s">
        <v>1402</v>
      </c>
      <c r="G17" s="14"/>
    </row>
    <row r="18" spans="1:7" ht="42.75" customHeight="1">
      <c r="A18" s="4" t="s">
        <v>698</v>
      </c>
      <c r="B18" s="13">
        <f>COUNTIFS(KOL_Roster!$A$3:$A$99,$A18,KOL_Roster!$J$3:$J$99,1)</f>
        <v>0</v>
      </c>
      <c r="C18" s="13">
        <f>COUNTIFS(KOL_Roster!$A$3:$A$99,$A18,KOL_Roster!$J$3:$J$99,2)</f>
        <v>5</v>
      </c>
      <c r="D18" s="13">
        <f>COUNTIFS(KOL_Roster!$A$3:$A$99,$A18,KOL_Roster!$J$3:$J$99,3)</f>
        <v>12</v>
      </c>
      <c r="E18" s="21">
        <f>COUNTIF(KOL_Roster!$A$3:$A$99,$A18)</f>
        <v>17</v>
      </c>
      <c r="F18" s="15" t="s">
        <v>1403</v>
      </c>
      <c r="G18" s="14"/>
    </row>
    <row r="19" spans="1:7" ht="36">
      <c r="A19" s="17" t="s">
        <v>1397</v>
      </c>
      <c r="B19" s="18">
        <f>SUM(B14:B18)</f>
        <v>0</v>
      </c>
      <c r="C19" s="18">
        <f>SUM(C14:C18)</f>
        <v>33</v>
      </c>
      <c r="D19" s="18">
        <f>SUM(D14:D18)</f>
        <v>64</v>
      </c>
      <c r="E19" s="18">
        <f>SUM(E14:E18)</f>
        <v>97</v>
      </c>
      <c r="F19" s="19" t="str">
        <f>"Reconciles with KOL_Roster row count: "&amp;IF(E19=COUNTA(KOL_Roster!$B$3:$B$99),"YES","NO — check")</f>
        <v>Reconciles with KOL_Roster row count: YES</v>
      </c>
      <c r="G19" s="20"/>
    </row>
    <row r="20" spans="1:7">
      <c r="A20" s="12"/>
      <c r="B20" s="12"/>
      <c r="C20" s="12"/>
      <c r="D20" s="12"/>
      <c r="E20" s="12"/>
      <c r="F20" s="12"/>
      <c r="G20" s="12"/>
    </row>
    <row r="21" spans="1:7" ht="24" customHeight="1">
      <c r="A21" s="10" t="s">
        <v>1404</v>
      </c>
      <c r="B21" s="10"/>
      <c r="C21" s="10"/>
      <c r="D21" s="10"/>
      <c r="E21" s="10"/>
      <c r="F21" s="10"/>
      <c r="G21" s="10"/>
    </row>
    <row r="22" spans="1:7" ht="19.5" customHeight="1">
      <c r="A22" s="2" t="s">
        <v>1405</v>
      </c>
      <c r="B22" s="2" t="s">
        <v>183</v>
      </c>
      <c r="C22" s="2" t="s">
        <v>303</v>
      </c>
      <c r="D22" s="2" t="s">
        <v>433</v>
      </c>
      <c r="E22" s="2" t="s">
        <v>591</v>
      </c>
      <c r="F22" s="2" t="s">
        <v>698</v>
      </c>
      <c r="G22" s="2" t="s">
        <v>1397</v>
      </c>
    </row>
    <row r="23" spans="1:7" ht="17.25" customHeight="1">
      <c r="A23" s="3" t="s">
        <v>1406</v>
      </c>
      <c r="B23" s="13">
        <f>COUNTIFS(Country_Centres!$A$3:$A$97,B$22,Country_Centres!$H$3:$H$97,"Yes*")</f>
        <v>1</v>
      </c>
      <c r="C23" s="13">
        <f>COUNTIFS(Country_Centres!$A$3:$A$97,C$22,Country_Centres!$H$3:$H$97,"Yes*")</f>
        <v>4</v>
      </c>
      <c r="D23" s="13">
        <f>COUNTIFS(Country_Centres!$A$3:$A$97,D$22,Country_Centres!$H$3:$H$97,"Yes*")</f>
        <v>0</v>
      </c>
      <c r="E23" s="13">
        <f>COUNTIFS(Country_Centres!$A$3:$A$97,E$22,Country_Centres!$H$3:$H$97,"Yes*")</f>
        <v>0</v>
      </c>
      <c r="F23" s="13">
        <f>COUNTIFS(Country_Centres!$A$3:$A$97,F$22,Country_Centres!$H$3:$H$97,"Yes*")</f>
        <v>1</v>
      </c>
      <c r="G23" s="16">
        <f>SUM(B23:F23)</f>
        <v>6</v>
      </c>
    </row>
    <row r="24" spans="1:7" ht="17.25" customHeight="1">
      <c r="A24" s="3" t="s">
        <v>1407</v>
      </c>
      <c r="B24" s="13">
        <f>COUNTIFS(Country_Centres!$A$3:$A$97,B$22,Country_Centres!$I$3:$I$97,"Yes*")</f>
        <v>3</v>
      </c>
      <c r="C24" s="13">
        <f>COUNTIFS(Country_Centres!$A$3:$A$97,C$22,Country_Centres!$I$3:$I$97,"Yes*")</f>
        <v>4</v>
      </c>
      <c r="D24" s="13">
        <f>COUNTIFS(Country_Centres!$A$3:$A$97,D$22,Country_Centres!$I$3:$I$97,"Yes*")</f>
        <v>7</v>
      </c>
      <c r="E24" s="13">
        <f>COUNTIFS(Country_Centres!$A$3:$A$97,E$22,Country_Centres!$I$3:$I$97,"Yes*")</f>
        <v>5</v>
      </c>
      <c r="F24" s="13">
        <f>COUNTIFS(Country_Centres!$A$3:$A$97,F$22,Country_Centres!$I$3:$I$97,"Yes*")</f>
        <v>6</v>
      </c>
      <c r="G24" s="16">
        <f>SUM(B24:F24)</f>
        <v>25</v>
      </c>
    </row>
    <row r="25" spans="1:7" ht="30" customHeight="1">
      <c r="A25" s="3" t="s">
        <v>1408</v>
      </c>
      <c r="B25" s="13">
        <f>COUNTIFS(Country_Centres!$A$3:$A$97,B$22,Country_Centres!$I$3:$I$97,"Yes*",Country_Centres!$I$3:$I$97,"*ION582*")</f>
        <v>1</v>
      </c>
      <c r="C25" s="13">
        <f>COUNTIFS(Country_Centres!$A$3:$A$97,C$22,Country_Centres!$I$3:$I$97,"Yes*",Country_Centres!$I$3:$I$97,"*ION582*")</f>
        <v>1</v>
      </c>
      <c r="D25" s="13">
        <f>COUNTIFS(Country_Centres!$A$3:$A$97,D$22,Country_Centres!$I$3:$I$97,"Yes*",Country_Centres!$I$3:$I$97,"*ION582*")</f>
        <v>4</v>
      </c>
      <c r="E25" s="13">
        <f>COUNTIFS(Country_Centres!$A$3:$A$97,E$22,Country_Centres!$I$3:$I$97,"Yes*",Country_Centres!$I$3:$I$97,"*ION582*")</f>
        <v>2</v>
      </c>
      <c r="F25" s="13">
        <f>COUNTIFS(Country_Centres!$A$3:$A$97,F$22,Country_Centres!$I$3:$I$97,"Yes*",Country_Centres!$I$3:$I$97,"*ION582*")</f>
        <v>2</v>
      </c>
      <c r="G25" s="16">
        <f>SUM(B25:F25)</f>
        <v>10</v>
      </c>
    </row>
    <row r="26" spans="1:7" ht="30" customHeight="1">
      <c r="A26" s="3" t="s">
        <v>1409</v>
      </c>
      <c r="B26" s="13" cm="1">
        <f t="array" ref="B26">SUMPRODUCT((Country_Centres!$A$3:$A$97=B$22)*(LEFT(Country_Centres!$I$3:$I$97,3)="Yes")*((ISNUMBER(SEARCH("competitor",Country_Centres!$I$3:$I$97))+ISNUMBER(SEARCH("apazunersen",Country_Centres!$I$3:$I$97))+ISNUMBER(SEARCH("GTX-102",Country_Centres!$I$3:$I$97))+ISNUMBER(SEARCH("rugonersen",Country_Centres!$I$3:$I$97))+ISNUMBER(SEARCH("Aspire",Country_Centres!$I$3:$I$97)))&gt;0))</f>
        <v>2</v>
      </c>
      <c r="C26" s="13" cm="1">
        <f t="array" ref="C26">SUMPRODUCT((Country_Centres!$A$3:$A$97=C$22)*(LEFT(Country_Centres!$I$3:$I$97,3)="Yes")*((ISNUMBER(SEARCH("competitor",Country_Centres!$I$3:$I$97))+ISNUMBER(SEARCH("apazunersen",Country_Centres!$I$3:$I$97))+ISNUMBER(SEARCH("GTX-102",Country_Centres!$I$3:$I$97))+ISNUMBER(SEARCH("rugonersen",Country_Centres!$I$3:$I$97))+ISNUMBER(SEARCH("Aspire",Country_Centres!$I$3:$I$97)))&gt;0))</f>
        <v>3</v>
      </c>
      <c r="D26" s="13" cm="1">
        <f t="array" ref="D26">SUMPRODUCT((Country_Centres!$A$3:$A$97=D$22)*(LEFT(Country_Centres!$I$3:$I$97,3)="Yes")*((ISNUMBER(SEARCH("competitor",Country_Centres!$I$3:$I$97))+ISNUMBER(SEARCH("apazunersen",Country_Centres!$I$3:$I$97))+ISNUMBER(SEARCH("GTX-102",Country_Centres!$I$3:$I$97))+ISNUMBER(SEARCH("rugonersen",Country_Centres!$I$3:$I$97))+ISNUMBER(SEARCH("Aspire",Country_Centres!$I$3:$I$97)))&gt;0))</f>
        <v>3</v>
      </c>
      <c r="E26" s="13" cm="1">
        <f t="array" ref="E26">SUMPRODUCT((Country_Centres!$A$3:$A$97=E$22)*(LEFT(Country_Centres!$I$3:$I$97,3)="Yes")*((ISNUMBER(SEARCH("competitor",Country_Centres!$I$3:$I$97))+ISNUMBER(SEARCH("apazunersen",Country_Centres!$I$3:$I$97))+ISNUMBER(SEARCH("GTX-102",Country_Centres!$I$3:$I$97))+ISNUMBER(SEARCH("rugonersen",Country_Centres!$I$3:$I$97))+ISNUMBER(SEARCH("Aspire",Country_Centres!$I$3:$I$97)))&gt;0))</f>
        <v>5</v>
      </c>
      <c r="F26" s="13" cm="1">
        <f t="array" ref="F26">SUMPRODUCT((Country_Centres!$A$3:$A$97=F$22)*(LEFT(Country_Centres!$I$3:$I$97,3)="Yes")*((ISNUMBER(SEARCH("competitor",Country_Centres!$I$3:$I$97))+ISNUMBER(SEARCH("apazunersen",Country_Centres!$I$3:$I$97))+ISNUMBER(SEARCH("GTX-102",Country_Centres!$I$3:$I$97))+ISNUMBER(SEARCH("rugonersen",Country_Centres!$I$3:$I$97))+ISNUMBER(SEARCH("Aspire",Country_Centres!$I$3:$I$97)))&gt;0))</f>
        <v>3</v>
      </c>
      <c r="G26" s="16">
        <f>SUM(B26:F26)</f>
        <v>16</v>
      </c>
    </row>
    <row r="27" spans="1:7" ht="17.25" customHeight="1">
      <c r="A27" s="3" t="s">
        <v>1410</v>
      </c>
      <c r="B27" s="13">
        <f>COUNTIFS(Country_Centres!$A$3:$A$97,B$22,Country_Centres!$J$3:$J$97,"*Coordinator*")</f>
        <v>1</v>
      </c>
      <c r="C27" s="13">
        <f>COUNTIFS(Country_Centres!$A$3:$A$97,C$22,Country_Centres!$J$3:$J$97,"*Coordinator*")</f>
        <v>1</v>
      </c>
      <c r="D27" s="13">
        <f>COUNTIFS(Country_Centres!$A$3:$A$97,D$22,Country_Centres!$J$3:$J$97,"*Coordinator*")</f>
        <v>2</v>
      </c>
      <c r="E27" s="13">
        <f>COUNTIFS(Country_Centres!$A$3:$A$97,E$22,Country_Centres!$J$3:$J$97,"*Coordinator*")</f>
        <v>1</v>
      </c>
      <c r="F27" s="13">
        <f>COUNTIFS(Country_Centres!$A$3:$A$97,F$22,Country_Centres!$J$3:$J$97,"*Coordinator*")</f>
        <v>2</v>
      </c>
      <c r="G27" s="16">
        <f>SUM(B27:F27)</f>
        <v>7</v>
      </c>
    </row>
    <row r="28" spans="1:7" ht="30" customHeight="1">
      <c r="A28" s="3" t="s">
        <v>1411</v>
      </c>
      <c r="B28" s="13">
        <f>COUNTIFS(Country_Centres!$A$3:$A$97,B$22,Country_Centres!$J$3:$J$97,"*Site*",Country_Centres!$J$3:$J$97,"&lt;&gt;No*")</f>
        <v>2</v>
      </c>
      <c r="C28" s="13">
        <f>COUNTIFS(Country_Centres!$A$3:$A$97,C$22,Country_Centres!$J$3:$J$97,"*Site*",Country_Centres!$J$3:$J$97,"&lt;&gt;No*")</f>
        <v>3</v>
      </c>
      <c r="D28" s="13">
        <f>COUNTIFS(Country_Centres!$A$3:$A$97,D$22,Country_Centres!$J$3:$J$97,"*Site*",Country_Centres!$J$3:$J$97,"&lt;&gt;No*")</f>
        <v>6</v>
      </c>
      <c r="E28" s="13">
        <f>COUNTIFS(Country_Centres!$A$3:$A$97,E$22,Country_Centres!$J$3:$J$97,"*Site*",Country_Centres!$J$3:$J$97,"&lt;&gt;No*")</f>
        <v>5</v>
      </c>
      <c r="F28" s="13">
        <f>COUNTIFS(Country_Centres!$A$3:$A$97,F$22,Country_Centres!$J$3:$J$97,"*Site*",Country_Centres!$J$3:$J$97,"&lt;&gt;No*")</f>
        <v>4</v>
      </c>
      <c r="G28" s="16">
        <f>SUM(B28:F28)</f>
        <v>20</v>
      </c>
    </row>
    <row r="29" spans="1:7" ht="17.25" customHeight="1">
      <c r="A29" s="3" t="s">
        <v>1412</v>
      </c>
      <c r="B29" s="13">
        <f>COUNTIFS(Country_Centres!$A$3:$A$97,B$22,Country_Centres!$K$3:$K$97,"Yes*")</f>
        <v>6</v>
      </c>
      <c r="C29" s="13">
        <f>COUNTIFS(Country_Centres!$A$3:$A$97,C$22,Country_Centres!$K$3:$K$97,"Yes*")</f>
        <v>12</v>
      </c>
      <c r="D29" s="13">
        <f>COUNTIFS(Country_Centres!$A$3:$A$97,D$22,Country_Centres!$K$3:$K$97,"Yes*")</f>
        <v>16</v>
      </c>
      <c r="E29" s="13">
        <f>COUNTIFS(Country_Centres!$A$3:$A$97,E$22,Country_Centres!$K$3:$K$97,"Yes*")</f>
        <v>6</v>
      </c>
      <c r="F29" s="13">
        <f>COUNTIFS(Country_Centres!$A$3:$A$97,F$22,Country_Centres!$K$3:$K$97,"Yes*")</f>
        <v>0</v>
      </c>
      <c r="G29" s="16">
        <f>SUM(B29:F29)</f>
        <v>40</v>
      </c>
    </row>
    <row r="30" spans="1:7" ht="17.25" customHeight="1">
      <c r="A30" s="3" t="s">
        <v>1413</v>
      </c>
      <c r="B30" s="13">
        <f>COUNTIFS(Country_Centres!$A$3:$A$97,B$22,Country_Centres!$L$3:$L$97,"Yes*")</f>
        <v>3</v>
      </c>
      <c r="C30" s="13">
        <f>COUNTIFS(Country_Centres!$A$3:$A$97,C$22,Country_Centres!$L$3:$L$97,"Yes*")</f>
        <v>3</v>
      </c>
      <c r="D30" s="13">
        <f>COUNTIFS(Country_Centres!$A$3:$A$97,D$22,Country_Centres!$L$3:$L$97,"Yes*")</f>
        <v>18</v>
      </c>
      <c r="E30" s="13">
        <f>COUNTIFS(Country_Centres!$A$3:$A$97,E$22,Country_Centres!$L$3:$L$97,"Yes*")</f>
        <v>2</v>
      </c>
      <c r="F30" s="13">
        <f>COUNTIFS(Country_Centres!$A$3:$A$97,F$22,Country_Centres!$L$3:$L$97,"Yes*")</f>
        <v>1</v>
      </c>
      <c r="G30" s="16">
        <f>SUM(B30:F30)</f>
        <v>27</v>
      </c>
    </row>
    <row r="31" spans="1:7">
      <c r="A31" s="12"/>
      <c r="B31" s="12"/>
      <c r="C31" s="12"/>
      <c r="D31" s="12"/>
      <c r="E31" s="12"/>
      <c r="F31" s="12"/>
      <c r="G31" s="12"/>
    </row>
    <row r="32" spans="1:7" ht="24" customHeight="1">
      <c r="A32" s="10" t="s">
        <v>1414</v>
      </c>
      <c r="B32" s="10"/>
      <c r="C32" s="10"/>
      <c r="D32" s="10"/>
      <c r="E32" s="10"/>
      <c r="F32" s="10"/>
      <c r="G32" s="10"/>
    </row>
    <row r="33" spans="1:7" ht="19.5" customHeight="1">
      <c r="A33" s="2" t="s">
        <v>1405</v>
      </c>
      <c r="B33" s="2" t="s">
        <v>183</v>
      </c>
      <c r="C33" s="2" t="s">
        <v>303</v>
      </c>
      <c r="D33" s="2" t="s">
        <v>433</v>
      </c>
      <c r="E33" s="2" t="s">
        <v>591</v>
      </c>
      <c r="F33" s="2" t="s">
        <v>698</v>
      </c>
      <c r="G33" s="2" t="s">
        <v>1397</v>
      </c>
    </row>
    <row r="34" spans="1:7" ht="30" customHeight="1">
      <c r="A34" s="3" t="s">
        <v>1415</v>
      </c>
      <c r="B34" s="13" cm="1">
        <f t="array" ref="B34">SUMPRODUCT((KOL_Roster!$A$3:$A$99=B$33)*(((KOL_Roster!$K$3:$K$99&gt;=3)+(LEFT(KOL_Roster!$E$3:$E$99,3)="Yes"))&gt;0))</f>
        <v>1</v>
      </c>
      <c r="C34" s="13" cm="1">
        <f t="array" ref="C34">SUMPRODUCT((KOL_Roster!$A$3:$A$99=C$33)*(((KOL_Roster!$K$3:$K$99&gt;=3)+(LEFT(KOL_Roster!$E$3:$E$99,3)="Yes"))&gt;0))</f>
        <v>3</v>
      </c>
      <c r="D34" s="13" cm="1">
        <f t="array" ref="D34">SUMPRODUCT((KOL_Roster!$A$3:$A$99=D$33)*(((KOL_Roster!$K$3:$K$99&gt;=3)+(LEFT(KOL_Roster!$E$3:$E$99,3)="Yes"))&gt;0))</f>
        <v>0</v>
      </c>
      <c r="E34" s="13" cm="1">
        <f t="array" ref="E34">SUMPRODUCT((KOL_Roster!$A$3:$A$99=E$33)*(((KOL_Roster!$K$3:$K$99&gt;=3)+(LEFT(KOL_Roster!$E$3:$E$99,3)="Yes"))&gt;0))</f>
        <v>1</v>
      </c>
      <c r="F34" s="13" cm="1">
        <f t="array" ref="F34">SUMPRODUCT((KOL_Roster!$A$3:$A$99=F$33)*(((KOL_Roster!$K$3:$K$99&gt;=3)+(LEFT(KOL_Roster!$E$3:$E$99,3)="Yes"))&gt;0))</f>
        <v>1</v>
      </c>
      <c r="G34" s="16">
        <f>SUM(B34:F34)</f>
        <v>6</v>
      </c>
    </row>
    <row r="35" spans="1:7" ht="17.25" customHeight="1">
      <c r="A35" s="3" t="s">
        <v>1416</v>
      </c>
      <c r="B35" s="13">
        <f>COUNTIFS(KOL_Roster!$A$3:$A$99,B$33,KOL_Roster!$M$3:$M$99,"&gt;=3")</f>
        <v>3</v>
      </c>
      <c r="C35" s="13">
        <f>COUNTIFS(KOL_Roster!$A$3:$A$99,C$33,KOL_Roster!$M$3:$M$99,"&gt;=3")</f>
        <v>2</v>
      </c>
      <c r="D35" s="13">
        <f>COUNTIFS(KOL_Roster!$A$3:$A$99,D$33,KOL_Roster!$M$3:$M$99,"&gt;=3")</f>
        <v>6</v>
      </c>
      <c r="E35" s="13">
        <f>COUNTIFS(KOL_Roster!$A$3:$A$99,E$33,KOL_Roster!$M$3:$M$99,"&gt;=3")</f>
        <v>4</v>
      </c>
      <c r="F35" s="13">
        <f>COUNTIFS(KOL_Roster!$A$3:$A$99,F$33,KOL_Roster!$M$3:$M$99,"&gt;=3")</f>
        <v>2</v>
      </c>
      <c r="G35" s="16">
        <f>SUM(B35:F35)</f>
        <v>17</v>
      </c>
    </row>
    <row r="36" spans="1:7" ht="17.25" customHeight="1">
      <c r="A36" s="3" t="s">
        <v>1417</v>
      </c>
      <c r="B36" s="13">
        <f>COUNTIFS(KOL_Roster!$A$3:$A$99,B$33,KOL_Roster!$L$3:$L$99,"&gt;=3")</f>
        <v>1</v>
      </c>
      <c r="C36" s="13">
        <f>COUNTIFS(KOL_Roster!$A$3:$A$99,C$33,KOL_Roster!$L$3:$L$99,"&gt;=3")</f>
        <v>2</v>
      </c>
      <c r="D36" s="13">
        <f>COUNTIFS(KOL_Roster!$A$3:$A$99,D$33,KOL_Roster!$L$3:$L$99,"&gt;=3")</f>
        <v>7</v>
      </c>
      <c r="E36" s="13">
        <f>COUNTIFS(KOL_Roster!$A$3:$A$99,E$33,KOL_Roster!$L$3:$L$99,"&gt;=3")</f>
        <v>7</v>
      </c>
      <c r="F36" s="13">
        <f>COUNTIFS(KOL_Roster!$A$3:$A$99,F$33,KOL_Roster!$L$3:$L$99,"&gt;=3")</f>
        <v>8</v>
      </c>
      <c r="G36" s="16">
        <f>SUM(B36:F36)</f>
        <v>25</v>
      </c>
    </row>
    <row r="37" spans="1:7" ht="30" customHeight="1">
      <c r="A37" s="3" t="s">
        <v>1418</v>
      </c>
      <c r="B37" s="13">
        <f>COUNTIFS(KOL_Roster!$A$3:$A$99,B$33,KOL_Roster!$H$3:$H$99,"&lt;&gt;",KOL_Roster!$H$3:$H$99,"&lt;&gt;No*",KOL_Roster!$H$3:$H$99,"&lt;&gt;*international not verified*",KOL_Roster!$H$3:$H$99,"&lt;&gt;*international oral not verified*")</f>
        <v>2</v>
      </c>
      <c r="C37" s="13">
        <f>COUNTIFS(KOL_Roster!$A$3:$A$99,C$33,KOL_Roster!$H$3:$H$99,"&lt;&gt;",KOL_Roster!$H$3:$H$99,"&lt;&gt;No*",KOL_Roster!$H$3:$H$99,"&lt;&gt;*international not verified*",KOL_Roster!$H$3:$H$99,"&lt;&gt;*international oral not verified*")</f>
        <v>0</v>
      </c>
      <c r="D37" s="13">
        <f>COUNTIFS(KOL_Roster!$A$3:$A$99,D$33,KOL_Roster!$H$3:$H$99,"&lt;&gt;",KOL_Roster!$H$3:$H$99,"&lt;&gt;No*",KOL_Roster!$H$3:$H$99,"&lt;&gt;*international not verified*",KOL_Roster!$H$3:$H$99,"&lt;&gt;*international oral not verified*")</f>
        <v>0</v>
      </c>
      <c r="E37" s="13">
        <f>COUNTIFS(KOL_Roster!$A$3:$A$99,E$33,KOL_Roster!$H$3:$H$99,"&lt;&gt;",KOL_Roster!$H$3:$H$99,"&lt;&gt;No*",KOL_Roster!$H$3:$H$99,"&lt;&gt;*international not verified*",KOL_Roster!$H$3:$H$99,"&lt;&gt;*international oral not verified*")</f>
        <v>3</v>
      </c>
      <c r="F37" s="13">
        <f>COUNTIFS(KOL_Roster!$A$3:$A$99,F$33,KOL_Roster!$H$3:$H$99,"&lt;&gt;",KOL_Roster!$H$3:$H$99,"&lt;&gt;No*",KOL_Roster!$H$3:$H$99,"&lt;&gt;*international not verified*",KOL_Roster!$H$3:$H$99,"&lt;&gt;*international oral not verified*")</f>
        <v>0</v>
      </c>
      <c r="G37" s="16">
        <f>SUM(B37:F37)</f>
        <v>5</v>
      </c>
    </row>
    <row r="38" spans="1:7" ht="30" customHeight="1">
      <c r="A38" s="3" t="s">
        <v>1419</v>
      </c>
      <c r="B38" s="13">
        <f>COUNTIFS(KOL_Roster!$A$3:$A$99,B$33,KOL_Roster!$I$3:$I$99,"*competitor*")</f>
        <v>2</v>
      </c>
      <c r="C38" s="13">
        <f>COUNTIFS(KOL_Roster!$A$3:$A$99,C$33,KOL_Roster!$I$3:$I$99,"*competitor*")</f>
        <v>2</v>
      </c>
      <c r="D38" s="13">
        <f>COUNTIFS(KOL_Roster!$A$3:$A$99,D$33,KOL_Roster!$I$3:$I$99,"*competitor*")</f>
        <v>3</v>
      </c>
      <c r="E38" s="13">
        <f>COUNTIFS(KOL_Roster!$A$3:$A$99,E$33,KOL_Roster!$I$3:$I$99,"*competitor*")</f>
        <v>2</v>
      </c>
      <c r="F38" s="13">
        <f>COUNTIFS(KOL_Roster!$A$3:$A$99,F$33,KOL_Roster!$I$3:$I$99,"*competitor*")</f>
        <v>1</v>
      </c>
      <c r="G38" s="16">
        <f>SUM(B38:F38)</f>
        <v>10</v>
      </c>
    </row>
  </sheetData>
  <mergeCells count="12">
    <mergeCell ref="F16:G16"/>
    <mergeCell ref="F17:G17"/>
    <mergeCell ref="F18:G18"/>
    <mergeCell ref="F19:G19"/>
    <mergeCell ref="A21:G21"/>
    <mergeCell ref="A32:G32"/>
    <mergeCell ref="A1:G1"/>
    <mergeCell ref="A3:G3"/>
    <mergeCell ref="A12:G12"/>
    <mergeCell ref="F13:G13"/>
    <mergeCell ref="F14:G14"/>
    <mergeCell ref="F15:G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F45D6-01E4-4423-AFFD-C2E2C3AC24D4}">
  <dimension ref="A1:E28"/>
  <sheetViews>
    <sheetView workbookViewId="0">
      <pane ySplit="2" topLeftCell="A3" activePane="bottomLeft" state="frozen"/>
      <selection pane="bottomLeft"/>
    </sheetView>
  </sheetViews>
  <sheetFormatPr defaultRowHeight="15"/>
  <cols>
    <col min="1" max="1" width="30.7109375" customWidth="1"/>
    <col min="2" max="2" width="45.7109375" customWidth="1"/>
    <col min="3" max="3" width="55.7109375" customWidth="1"/>
    <col min="4" max="4" width="50.7109375" customWidth="1"/>
    <col min="5" max="5" width="70.7109375" customWidth="1"/>
  </cols>
  <sheetData>
    <row r="1" spans="1:5" ht="36" customHeight="1">
      <c r="A1" s="10" t="s">
        <v>1420</v>
      </c>
      <c r="B1" s="10"/>
      <c r="C1" s="10"/>
      <c r="D1" s="10"/>
      <c r="E1" s="10"/>
    </row>
    <row r="2" spans="1:5" ht="19.5" customHeight="1">
      <c r="A2" s="2" t="s">
        <v>1421</v>
      </c>
      <c r="B2" s="2" t="s">
        <v>1422</v>
      </c>
      <c r="C2" s="2" t="s">
        <v>1423</v>
      </c>
      <c r="D2" s="2" t="s">
        <v>1424</v>
      </c>
      <c r="E2" s="2" t="s">
        <v>1425</v>
      </c>
    </row>
    <row r="3" spans="1:5" ht="18" customHeight="1">
      <c r="A3" s="22" t="s">
        <v>1426</v>
      </c>
      <c r="B3" s="22"/>
      <c r="C3" s="22"/>
      <c r="D3" s="22"/>
      <c r="E3" s="22"/>
    </row>
    <row r="4" spans="1:5" ht="30" customHeight="1">
      <c r="A4" s="3" t="s">
        <v>1427</v>
      </c>
      <c r="B4" s="3" t="s">
        <v>1428</v>
      </c>
      <c r="C4" s="3" t="s">
        <v>1429</v>
      </c>
      <c r="D4" s="3" t="s">
        <v>1430</v>
      </c>
      <c r="E4" s="3" t="s">
        <v>1431</v>
      </c>
    </row>
    <row r="5" spans="1:5" ht="42.75" customHeight="1">
      <c r="A5" s="3" t="s">
        <v>1427</v>
      </c>
      <c r="B5" s="3" t="s">
        <v>1432</v>
      </c>
      <c r="C5" s="3" t="s">
        <v>1433</v>
      </c>
      <c r="D5" s="3" t="s">
        <v>1434</v>
      </c>
      <c r="E5" s="3" t="s">
        <v>1435</v>
      </c>
    </row>
    <row r="6" spans="1:5" ht="30" customHeight="1">
      <c r="A6" s="3" t="s">
        <v>1427</v>
      </c>
      <c r="B6" s="3" t="s">
        <v>1436</v>
      </c>
      <c r="C6" s="3" t="s">
        <v>1437</v>
      </c>
      <c r="D6" s="3" t="s">
        <v>1438</v>
      </c>
      <c r="E6" s="3" t="s">
        <v>1439</v>
      </c>
    </row>
    <row r="7" spans="1:5" ht="42.75" customHeight="1">
      <c r="A7" s="3" t="s">
        <v>1427</v>
      </c>
      <c r="B7" s="3" t="s">
        <v>1440</v>
      </c>
      <c r="C7" s="3" t="s">
        <v>1441</v>
      </c>
      <c r="D7" s="3" t="s">
        <v>1442</v>
      </c>
      <c r="E7" s="3" t="s">
        <v>1443</v>
      </c>
    </row>
    <row r="8" spans="1:5" ht="30" customHeight="1">
      <c r="A8" s="3" t="s">
        <v>1427</v>
      </c>
      <c r="B8" s="3" t="s">
        <v>1444</v>
      </c>
      <c r="C8" s="3" t="s">
        <v>1445</v>
      </c>
      <c r="D8" s="3" t="s">
        <v>1446</v>
      </c>
      <c r="E8" s="3" t="s">
        <v>1447</v>
      </c>
    </row>
    <row r="9" spans="1:5" ht="18" customHeight="1">
      <c r="A9" s="22" t="s">
        <v>1448</v>
      </c>
      <c r="B9" s="22"/>
      <c r="C9" s="22"/>
      <c r="D9" s="22"/>
      <c r="E9" s="22"/>
    </row>
    <row r="10" spans="1:5" ht="42.75" customHeight="1">
      <c r="A10" s="3" t="s">
        <v>1449</v>
      </c>
      <c r="B10" s="3" t="s">
        <v>1450</v>
      </c>
      <c r="C10" s="3" t="s">
        <v>1451</v>
      </c>
      <c r="D10" s="3" t="s">
        <v>1452</v>
      </c>
      <c r="E10" s="3" t="s">
        <v>1453</v>
      </c>
    </row>
    <row r="11" spans="1:5" ht="30" customHeight="1">
      <c r="A11" s="3" t="s">
        <v>1449</v>
      </c>
      <c r="B11" s="3" t="s">
        <v>1454</v>
      </c>
      <c r="C11" s="3" t="s">
        <v>1455</v>
      </c>
      <c r="D11" s="3" t="s">
        <v>1456</v>
      </c>
      <c r="E11" s="3" t="s">
        <v>1457</v>
      </c>
    </row>
    <row r="12" spans="1:5" ht="30" customHeight="1">
      <c r="A12" s="3" t="s">
        <v>1449</v>
      </c>
      <c r="B12" s="3" t="s">
        <v>1458</v>
      </c>
      <c r="C12" s="3" t="s">
        <v>1459</v>
      </c>
      <c r="D12" s="3" t="s">
        <v>1460</v>
      </c>
      <c r="E12" s="3" t="s">
        <v>1461</v>
      </c>
    </row>
    <row r="13" spans="1:5" ht="30" customHeight="1">
      <c r="A13" s="3" t="s">
        <v>1449</v>
      </c>
      <c r="B13" s="3" t="s">
        <v>1462</v>
      </c>
      <c r="C13" s="3" t="s">
        <v>1463</v>
      </c>
      <c r="D13" s="3" t="s">
        <v>1464</v>
      </c>
      <c r="E13" s="3" t="s">
        <v>1465</v>
      </c>
    </row>
    <row r="14" spans="1:5" ht="30" customHeight="1">
      <c r="A14" s="3" t="s">
        <v>1449</v>
      </c>
      <c r="B14" s="3" t="s">
        <v>1466</v>
      </c>
      <c r="C14" s="3" t="s">
        <v>1467</v>
      </c>
      <c r="D14" s="3" t="s">
        <v>1468</v>
      </c>
      <c r="E14" s="3" t="s">
        <v>1469</v>
      </c>
    </row>
    <row r="15" spans="1:5" ht="30" customHeight="1">
      <c r="A15" s="3" t="s">
        <v>1449</v>
      </c>
      <c r="B15" s="3" t="s">
        <v>1470</v>
      </c>
      <c r="C15" s="3" t="s">
        <v>1471</v>
      </c>
      <c r="D15" s="3" t="s">
        <v>1472</v>
      </c>
      <c r="E15" s="3" t="s">
        <v>1473</v>
      </c>
    </row>
    <row r="16" spans="1:5" ht="18" customHeight="1">
      <c r="A16" s="22" t="s">
        <v>1474</v>
      </c>
      <c r="B16" s="22"/>
      <c r="C16" s="22"/>
      <c r="D16" s="22"/>
      <c r="E16" s="22"/>
    </row>
    <row r="17" spans="1:5" ht="30" customHeight="1">
      <c r="A17" s="3" t="s">
        <v>1475</v>
      </c>
      <c r="B17" s="3" t="s">
        <v>1476</v>
      </c>
      <c r="C17" s="3" t="s">
        <v>1477</v>
      </c>
      <c r="D17" s="3" t="s">
        <v>1478</v>
      </c>
      <c r="E17" s="3" t="s">
        <v>1479</v>
      </c>
    </row>
    <row r="18" spans="1:5" ht="30" customHeight="1">
      <c r="A18" s="3" t="s">
        <v>1475</v>
      </c>
      <c r="B18" s="3" t="s">
        <v>1480</v>
      </c>
      <c r="C18" s="3" t="s">
        <v>1481</v>
      </c>
      <c r="D18" s="3" t="s">
        <v>1482</v>
      </c>
      <c r="E18" s="3" t="s">
        <v>1483</v>
      </c>
    </row>
    <row r="19" spans="1:5" ht="30" customHeight="1">
      <c r="A19" s="3" t="s">
        <v>1475</v>
      </c>
      <c r="B19" s="3" t="s">
        <v>1484</v>
      </c>
      <c r="C19" s="3" t="s">
        <v>1485</v>
      </c>
      <c r="D19" s="3" t="s">
        <v>1486</v>
      </c>
      <c r="E19" s="3" t="s">
        <v>1487</v>
      </c>
    </row>
    <row r="20" spans="1:5" ht="69" customHeight="1">
      <c r="A20" s="4" t="s">
        <v>1488</v>
      </c>
      <c r="B20" s="4" t="s">
        <v>1489</v>
      </c>
      <c r="C20" s="3" t="s">
        <v>1490</v>
      </c>
      <c r="D20" s="3" t="s">
        <v>1491</v>
      </c>
      <c r="E20" s="3" t="s">
        <v>1492</v>
      </c>
    </row>
    <row r="21" spans="1:5" ht="42.75" customHeight="1">
      <c r="A21" s="3" t="s">
        <v>1493</v>
      </c>
      <c r="B21" s="3" t="s">
        <v>1494</v>
      </c>
      <c r="C21" s="3" t="s">
        <v>1495</v>
      </c>
      <c r="D21" s="3" t="s">
        <v>1496</v>
      </c>
      <c r="E21" s="3" t="s">
        <v>1497</v>
      </c>
    </row>
    <row r="22" spans="1:5" ht="18" customHeight="1">
      <c r="A22" s="22" t="s">
        <v>1498</v>
      </c>
      <c r="B22" s="22"/>
      <c r="C22" s="22"/>
      <c r="D22" s="22"/>
      <c r="E22" s="22"/>
    </row>
    <row r="23" spans="1:5" ht="30" customHeight="1">
      <c r="A23" s="3" t="s">
        <v>1499</v>
      </c>
      <c r="B23" s="3" t="s">
        <v>1500</v>
      </c>
      <c r="C23" s="3" t="s">
        <v>1501</v>
      </c>
      <c r="D23" s="3" t="s">
        <v>1502</v>
      </c>
      <c r="E23" s="3" t="s">
        <v>1503</v>
      </c>
    </row>
    <row r="24" spans="1:5" ht="30" customHeight="1">
      <c r="A24" s="3" t="s">
        <v>1499</v>
      </c>
      <c r="B24" s="3" t="s">
        <v>1504</v>
      </c>
      <c r="C24" s="3" t="s">
        <v>1505</v>
      </c>
      <c r="D24" s="3" t="s">
        <v>1506</v>
      </c>
      <c r="E24" s="3" t="s">
        <v>1507</v>
      </c>
    </row>
    <row r="25" spans="1:5" ht="18" customHeight="1">
      <c r="A25" s="22" t="s">
        <v>1508</v>
      </c>
      <c r="B25" s="22"/>
      <c r="C25" s="22"/>
      <c r="D25" s="22"/>
      <c r="E25" s="22"/>
    </row>
    <row r="26" spans="1:5" ht="56.25" customHeight="1">
      <c r="A26" s="4" t="s">
        <v>1509</v>
      </c>
      <c r="B26" s="4" t="s">
        <v>1510</v>
      </c>
      <c r="C26" s="3" t="s">
        <v>1511</v>
      </c>
      <c r="D26" s="3" t="s">
        <v>1512</v>
      </c>
      <c r="E26" s="3" t="s">
        <v>1513</v>
      </c>
    </row>
    <row r="27" spans="1:5" ht="42.75" customHeight="1">
      <c r="A27" s="3" t="s">
        <v>1514</v>
      </c>
      <c r="B27" s="3" t="s">
        <v>1515</v>
      </c>
      <c r="C27" s="3" t="s">
        <v>1516</v>
      </c>
      <c r="D27" s="3" t="s">
        <v>1517</v>
      </c>
      <c r="E27" s="3" t="s">
        <v>1518</v>
      </c>
    </row>
    <row r="28" spans="1:5" ht="42.75" customHeight="1">
      <c r="A28" s="3" t="s">
        <v>1519</v>
      </c>
      <c r="B28" s="3" t="s">
        <v>1520</v>
      </c>
      <c r="C28" s="3" t="s">
        <v>1521</v>
      </c>
      <c r="D28" s="3" t="s">
        <v>1522</v>
      </c>
      <c r="E28" s="3" t="s">
        <v>1523</v>
      </c>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7D4B3-8DC6-439C-8B78-22AD0A8B13DC}">
  <dimension ref="A1:G235"/>
  <sheetViews>
    <sheetView workbookViewId="0">
      <pane ySplit="2" topLeftCell="A3" activePane="bottomLeft" state="frozen"/>
      <selection pane="bottomLeft"/>
    </sheetView>
  </sheetViews>
  <sheetFormatPr defaultRowHeight="15"/>
  <cols>
    <col min="1" max="2" width="55.7109375" customWidth="1"/>
    <col min="3" max="3" width="70.7109375" customWidth="1"/>
    <col min="4" max="4" width="20.7109375" customWidth="1"/>
    <col min="5" max="6" width="50.7109375" customWidth="1"/>
    <col min="7" max="7" width="45.7109375" customWidth="1"/>
  </cols>
  <sheetData>
    <row r="1" spans="1:7" ht="24" customHeight="1">
      <c r="A1" s="10" t="s">
        <v>1524</v>
      </c>
      <c r="B1" s="10"/>
      <c r="C1" s="10"/>
      <c r="D1" s="10"/>
      <c r="E1" s="10"/>
      <c r="F1" s="10"/>
      <c r="G1" s="10"/>
    </row>
    <row r="2" spans="1:7" ht="19.5" customHeight="1">
      <c r="A2" s="2" t="s">
        <v>1525</v>
      </c>
      <c r="B2" s="2" t="s">
        <v>1526</v>
      </c>
      <c r="C2" s="2" t="s">
        <v>1527</v>
      </c>
    </row>
    <row r="3" spans="1:7" ht="56.25" customHeight="1">
      <c r="A3" s="3" t="s">
        <v>1528</v>
      </c>
      <c r="B3" s="24" t="str">
        <f>HYPERLINK("https://europepmc.org/articles/PMC8922964/","https://europepmc.org/articles/PMC8922964/")</f>
        <v>https://europepmc.org/articles/PMC8922964/</v>
      </c>
      <c r="C3" s="3" t="s">
        <v>1529</v>
      </c>
    </row>
    <row r="4" spans="1:7" ht="30" customHeight="1">
      <c r="A4" s="3" t="s">
        <v>1530</v>
      </c>
      <c r="B4" s="24" t="str">
        <f>HYPERLINK("https://www.has-sante.fr/jcms/p_3300847/fr/syndrome-d-angelman","https://www.has-sante.fr/jcms/p_3300847/fr/syndrome-d-angelman")</f>
        <v>https://www.has-sante.fr/jcms/p_3300847/fr/syndrome-d-angelman</v>
      </c>
      <c r="C4" s="3" t="s">
        <v>1531</v>
      </c>
    </row>
    <row r="5" spans="1:7" ht="42.75" customHeight="1">
      <c r="A5" s="3" t="s">
        <v>1532</v>
      </c>
      <c r="B5" s="24" t="str">
        <f>HYPERLINK("https://europepmc.org/article/MED/16470747","https://europepmc.org/article/MED/16470747")</f>
        <v>https://europepmc.org/article/MED/16470747</v>
      </c>
      <c r="C5" s="3" t="s">
        <v>1533</v>
      </c>
    </row>
    <row r="6" spans="1:7" ht="42.75" customHeight="1">
      <c r="A6" s="3" t="s">
        <v>1534</v>
      </c>
      <c r="B6" s="24" t="str">
        <f>HYPERLINK("https://research.regionh.dk/en/publications/angelman-syndrome-in-denmark-birth-incidence-genetic-findings-and/","https://research.regionh.dk/en/publications/angelman-syndrome-in-denmark-birth-incidence-genetic-findings-and/")</f>
        <v>https://research.regionh.dk/en/publications/angelman-syndrome-in-denmark-birth-incidence-genetic-findings-and/</v>
      </c>
      <c r="C6" s="3" t="s">
        <v>1535</v>
      </c>
    </row>
    <row r="7" spans="1:7" ht="56.25" customHeight="1">
      <c r="A7" s="3" t="s">
        <v>1536</v>
      </c>
      <c r="B7" s="24" t="str">
        <f>HYPERLINK("https://pmc.ncbi.nlm.nih.gov/articles/PMC6916553/","https://pmc.ncbi.nlm.nih.gov/articles/PMC6916553/")</f>
        <v>https://pmc.ncbi.nlm.nih.gov/articles/PMC6916553/</v>
      </c>
      <c r="C7" s="3" t="s">
        <v>1537</v>
      </c>
    </row>
    <row r="8" spans="1:7" ht="56.25" customHeight="1">
      <c r="A8" s="3" t="s">
        <v>1538</v>
      </c>
      <c r="B8" s="24" t="str">
        <f>HYPERLINK("https://ionis.com/taxonomy/term/566","https://ionis.com/taxonomy/term/566")</f>
        <v>https://ionis.com/taxonomy/term/566</v>
      </c>
      <c r="C8" s="3" t="s">
        <v>1539</v>
      </c>
    </row>
    <row r="9" spans="1:7" ht="30" customHeight="1">
      <c r="A9" s="3" t="s">
        <v>1540</v>
      </c>
      <c r="B9" s="24" t="str">
        <f>HYPERLINK("https://clinicaltrials.gov/study/NCT06914609","https://clinicaltrials.gov/study/NCT06914609")</f>
        <v>https://clinicaltrials.gov/study/NCT06914609</v>
      </c>
      <c r="C9" s="3" t="s">
        <v>1541</v>
      </c>
    </row>
    <row r="10" spans="1:7" ht="17.25" customHeight="1">
      <c r="A10" s="3" t="s">
        <v>1542</v>
      </c>
      <c r="B10" s="24" t="str">
        <f>HYPERLINK("https://clinicaltrials.gov/study/NCT05127226","https://clinicaltrials.gov/study/NCT05127226")</f>
        <v>https://clinicaltrials.gov/study/NCT05127226</v>
      </c>
      <c r="C10" s="3" t="s">
        <v>1543</v>
      </c>
    </row>
    <row r="11" spans="1:7" ht="17.25" customHeight="1">
      <c r="A11" s="3" t="s">
        <v>1544</v>
      </c>
      <c r="B11" s="24" t="str">
        <f>HYPERLINK("https://clinicaltrials.gov/study/NCT07782827","https://clinicaltrials.gov/study/NCT07782827")</f>
        <v>https://clinicaltrials.gov/study/NCT07782827</v>
      </c>
      <c r="C11" s="3" t="s">
        <v>1545</v>
      </c>
    </row>
    <row r="12" spans="1:7" ht="30" customHeight="1">
      <c r="A12" s="3" t="s">
        <v>1546</v>
      </c>
      <c r="B12" s="24" t="str">
        <f>HYPERLINK("https://ir.ionis.com/news-releases/news-release-details/ionis-completes-enrollment-pivotal-cohort-phase-3-reveal-study","https://ir.ionis.com/news-releases/news-release-details/ionis-completes-enrollment-pivotal-cohort-phase-3-reveal-study")</f>
        <v>https://ir.ionis.com/news-releases/news-release-details/ionis-completes-enrollment-pivotal-cohort-phase-3-reveal-study</v>
      </c>
      <c r="C12" s="3" t="s">
        <v>1547</v>
      </c>
    </row>
    <row r="13" spans="1:7" ht="30" customHeight="1">
      <c r="A13" s="3" t="s">
        <v>1548</v>
      </c>
      <c r="B13" s="24" t="str">
        <f>HYPERLINK("https://ir.ionis.com/news-releases/news-release-details/ionis-announces-pivotal-phase-3-trial-design-ion582-angelman","https://ir.ionis.com/news-releases/news-release-details/ionis-announces-pivotal-phase-3-trial-design-ion582-angelman")</f>
        <v>https://ir.ionis.com/news-releases/news-release-details/ionis-announces-pivotal-phase-3-trial-design-ion582-angelman</v>
      </c>
      <c r="C13" s="3" t="s">
        <v>1549</v>
      </c>
    </row>
    <row r="14" spans="1:7" ht="30" customHeight="1">
      <c r="A14" s="3" t="s">
        <v>1550</v>
      </c>
      <c r="B14" s="24" t="str">
        <f>HYPERLINK("https://ir.ionis.com/news-releases/news-release-details/ionis-announces-positive-topline-results-phase-12a-trial-ion582","https://ir.ionis.com/news-releases/news-release-details/ionis-announces-positive-topline-results-phase-12a-trial-ion582")</f>
        <v>https://ir.ionis.com/news-releases/news-release-details/ionis-announces-positive-topline-results-phase-12a-trial-ion582</v>
      </c>
      <c r="C14" s="3" t="s">
        <v>1551</v>
      </c>
    </row>
    <row r="15" spans="1:7" ht="42.75" customHeight="1">
      <c r="A15" s="3" t="s">
        <v>1552</v>
      </c>
      <c r="B15" s="24" t="str">
        <f>HYPERLINK("https://www.biospace.com/ionis-announces-positive-detailed-results-from-the-halos-study-of-ion582-in-people-with-angelman-syndrome","https://www.biospace.com/ionis-announces-positive-detailed-results-from-the-halos-study-of-ion582-in-people-with-angelman-syndrome")</f>
        <v>https://www.biospace.com/ionis-announces-positive-detailed-results-from-the-halos-study-of-ion582-in-people-with-angelman-syndrome</v>
      </c>
      <c r="C15" s="3" t="s">
        <v>1553</v>
      </c>
    </row>
    <row r="16" spans="1:7" ht="30" customHeight="1">
      <c r="A16" s="3" t="s">
        <v>1554</v>
      </c>
      <c r="B16" s="24" t="str">
        <f>HYPERLINK("https://ir.ionis.com/news-releases/news-release-details/first-patient-dosed-pivotal-phase-3-reveal-clinical-study-ion582","https://ir.ionis.com/news-releases/news-release-details/first-patient-dosed-pivotal-phase-3-reveal-clinical-study-ion582")</f>
        <v>https://ir.ionis.com/news-releases/news-release-details/first-patient-dosed-pivotal-phase-3-reveal-clinical-study-ion582</v>
      </c>
      <c r="C16" s="3" t="s">
        <v>1555</v>
      </c>
    </row>
    <row r="17" spans="1:3" ht="30" customHeight="1">
      <c r="A17" s="3" t="s">
        <v>1556</v>
      </c>
      <c r="B17" s="24" t="str">
        <f>HYPERLINK("https://angelman.org/wp-content/uploads/2026/04/Ionis-REVEAL-sites-EU_community-letter.pdf","https://angelman.org/wp-content/uploads/2026/04/Ionis-REVEAL-sites-EU_community-letter.pdf")</f>
        <v>https://angelman.org/wp-content/uploads/2026/04/Ionis-REVEAL-sites-EU_community-letter.pdf</v>
      </c>
      <c r="C17" s="3" t="s">
        <v>1557</v>
      </c>
    </row>
    <row r="18" spans="1:3" ht="30" customHeight="1">
      <c r="A18" s="3" t="s">
        <v>1558</v>
      </c>
      <c r="B18" s="24" t="str">
        <f>HYPERLINK("https://angelman.org/wp-content/uploads/2026/07/Ionis-update-REVEAL-July2026.pdf","https://angelman.org/wp-content/uploads/2026/07/Ionis-update-REVEAL-July2026.pdf")</f>
        <v>https://angelman.org/wp-content/uploads/2026/07/Ionis-update-REVEAL-July2026.pdf</v>
      </c>
      <c r="C18" s="3" t="s">
        <v>1559</v>
      </c>
    </row>
    <row r="19" spans="1:3" ht="30" customHeight="1">
      <c r="A19" s="3" t="s">
        <v>1560</v>
      </c>
      <c r="B19" s="24" t="str">
        <f>HYPERLINK("https://angelman.org/wp-content/uploads/2025/12/Community-Update-ION582-Ionis_Dec-2025.pdf","https://angelman.org/wp-content/uploads/2025/12/Community-Update-ION582-Ionis_Dec-2025.pdf")</f>
        <v>https://angelman.org/wp-content/uploads/2025/12/Community-Update-ION582-Ionis_Dec-2025.pdf</v>
      </c>
      <c r="C19" s="3" t="s">
        <v>1561</v>
      </c>
    </row>
    <row r="20" spans="1:3" ht="30" customHeight="1">
      <c r="A20" s="3" t="s">
        <v>1562</v>
      </c>
      <c r="B20" s="24" t="str">
        <f>HYPERLINK("https://sindromediangelman.org/wp-content/uploads/2026/05/PA-IT-AS-260001-Community-Statement-REVEAL-Opens-in-Italy-052626.pdf","https://sindromediangelman.org/wp-content/uploads/2026/05/PA-IT-AS-260001-Community-Statement-REVEAL-Opens-in-Italy-052626.pdf")</f>
        <v>https://sindromediangelman.org/wp-content/uploads/2026/05/PA-IT-AS-260001-Community-Statement-REVEAL-Opens-in-Italy-052626.pdf</v>
      </c>
      <c r="C20" s="3" t="s">
        <v>1563</v>
      </c>
    </row>
    <row r="21" spans="1:3" ht="30" customHeight="1">
      <c r="A21" s="3" t="s">
        <v>1564</v>
      </c>
      <c r="B21" s="24" t="str">
        <f>HYPERLINK("https://www.fsm.unipi.it/2026/05/21/angelman-trial-clinico-ionis-pisa-2026/","https://www.fsm.unipi.it/2026/05/21/angelman-trial-clinico-ionis-pisa-2026/")</f>
        <v>https://www.fsm.unipi.it/2026/05/21/angelman-trial-clinico-ionis-pisa-2026/</v>
      </c>
      <c r="C21" s="3" t="s">
        <v>1565</v>
      </c>
    </row>
    <row r="22" spans="1:3" ht="30" customHeight="1">
      <c r="A22" s="3" t="s">
        <v>1566</v>
      </c>
      <c r="B22" s="24" t="str">
        <f>HYPERLINK("https://ionis.com/sites/default/files/2026-06/Crean%20Bird%20-%20HALOS%20-%20Angelman%20Syndrome%20Program%20Update.pdf","https://ionis.com/sites/default/files/2026-06/Crean%20Bird%20-%20HALOS%20-%20Angelman%20Syndrome%20Program%20Update.pdf")</f>
        <v>https://ionis.com/sites/default/files/2026-06/Crean%20Bird%20-%20HALOS%20-%20Angelman%20Syndrome%20Program%20Update.pdf</v>
      </c>
      <c r="C22" s="3" t="s">
        <v>1567</v>
      </c>
    </row>
    <row r="23" spans="1:3" ht="30" customHeight="1">
      <c r="A23" s="3" t="s">
        <v>1568</v>
      </c>
      <c r="B23" s="24" t="str">
        <f>HYPERLINK("https://www.ema.europa.eu/en/medicines/human/orphan-designations/eu-3-22-2636","https://www.ema.europa.eu/en/medicines/human/orphan-designations/eu-3-22-2636")</f>
        <v>https://www.ema.europa.eu/en/medicines/human/orphan-designations/eu-3-22-2636</v>
      </c>
      <c r="C23" s="3" t="s">
        <v>1569</v>
      </c>
    </row>
    <row r="24" spans="1:3" ht="17.25" customHeight="1">
      <c r="A24" s="3" t="s">
        <v>1570</v>
      </c>
      <c r="B24" s="24" t="str">
        <f>HYPERLINK("https://www.ema.europa.eu/en/medicines/human/EPAR/spinraza","https://www.ema.europa.eu/en/medicines/human/EPAR/spinraza")</f>
        <v>https://www.ema.europa.eu/en/medicines/human/EPAR/spinraza</v>
      </c>
      <c r="C24" s="3" t="s">
        <v>1571</v>
      </c>
    </row>
    <row r="25" spans="1:3" ht="17.25" customHeight="1">
      <c r="A25" s="3" t="s">
        <v>1572</v>
      </c>
      <c r="B25" s="24" t="str">
        <f>HYPERLINK("https://clinicaltrials.gov/study/NCT06617429","https://clinicaltrials.gov/study/NCT06617429")</f>
        <v>https://clinicaltrials.gov/study/NCT06617429</v>
      </c>
      <c r="C25" s="3" t="s">
        <v>1573</v>
      </c>
    </row>
    <row r="26" spans="1:3" ht="17.25" customHeight="1">
      <c r="A26" s="3" t="s">
        <v>1574</v>
      </c>
      <c r="B26" s="24" t="str">
        <f>HYPERLINK("https://clinicaltrials.gov/study/NCT04259281","https://clinicaltrials.gov/study/NCT04259281")</f>
        <v>https://clinicaltrials.gov/study/NCT04259281</v>
      </c>
      <c r="C26" s="3" t="s">
        <v>1575</v>
      </c>
    </row>
    <row r="27" spans="1:3" ht="30" customHeight="1">
      <c r="A27" s="3" t="s">
        <v>1576</v>
      </c>
      <c r="B27" s="24" t="str">
        <f>HYPERLINK("https://ir.ultragenyx.com/news-releases/news-release-details/ultragenyx-announces-phase-3-aspire-results-angelman-syndrome","https://ir.ultragenyx.com/news-releases/news-release-details/ultragenyx-announces-phase-3-aspire-results-angelman-syndrome")</f>
        <v>https://ir.ultragenyx.com/news-releases/news-release-details/ultragenyx-announces-phase-3-aspire-results-angelman-syndrome</v>
      </c>
      <c r="C27" s="3" t="s">
        <v>1577</v>
      </c>
    </row>
    <row r="28" spans="1:3" ht="30" customHeight="1">
      <c r="A28" s="3" t="s">
        <v>1578</v>
      </c>
      <c r="B28" s="24" t="str">
        <f>HYPERLINK("https://www.ultragenyx.com/our-research/pipeline/gtx-102-for-angelman-syndrome/","https://www.ultragenyx.com/our-research/pipeline/gtx-102-for-angelman-syndrome/")</f>
        <v>https://www.ultragenyx.com/our-research/pipeline/gtx-102-for-angelman-syndrome/</v>
      </c>
      <c r="C28" s="3" t="s">
        <v>1579</v>
      </c>
    </row>
    <row r="29" spans="1:3" ht="30" customHeight="1">
      <c r="A29" s="3" t="s">
        <v>1580</v>
      </c>
      <c r="B29" s="24" t="str">
        <f>HYPERLINK("https://pubmed.ncbi.nlm.nih.gov/36947593/","https://pubmed.ncbi.nlm.nih.gov/36947593/")</f>
        <v>https://pubmed.ncbi.nlm.nih.gov/36947593/</v>
      </c>
      <c r="C29" s="3" t="s">
        <v>1581</v>
      </c>
    </row>
    <row r="30" spans="1:3" ht="30" customHeight="1">
      <c r="A30" s="3" t="s">
        <v>1582</v>
      </c>
      <c r="B30" s="24" t="str">
        <f>HYPERLINK("https://www.nature.com/articles/s41591-025-03784-7","https://www.nature.com/articles/s41591-025-03784-7")</f>
        <v>https://www.nature.com/articles/s41591-025-03784-7</v>
      </c>
      <c r="C30" s="3" t="s">
        <v>1583</v>
      </c>
    </row>
    <row r="31" spans="1:3" ht="42.75" customHeight="1">
      <c r="A31" s="3" t="s">
        <v>1584</v>
      </c>
      <c r="B31" s="24" t="str">
        <f>HYPERLINK("https://forpatients.roche.com/en/trials/neurodevelopmental-disorder/angelman-syndrome/a-study-to-investigate-the-safety--tolerability--pharma-19556.html","https://forpatients.roche.com/en/trials/neurodevelopmental-disorder/angelman-syndrome/a-study-to-investigate-the-safety--tolerability--pharma-19556.html")</f>
        <v>https://forpatients.roche.com/en/trials/neurodevelopmental-disorder/angelman-syndrome/a-study-to-investigate-the-safety--tolerability--pharma-19556.html</v>
      </c>
      <c r="C31" s="3" t="s">
        <v>1585</v>
      </c>
    </row>
    <row r="32" spans="1:3" ht="42.75" customHeight="1">
      <c r="A32" s="3" t="s">
        <v>1586</v>
      </c>
      <c r="B32" s="24" t="str">
        <f>HYPERLINK("https://pubmed.ncbi.nlm.nih.gov/37639777/","https://pubmed.ncbi.nlm.nih.gov/37639777/")</f>
        <v>https://pubmed.ncbi.nlm.nih.gov/37639777/</v>
      </c>
      <c r="C32" s="3" t="s">
        <v>1587</v>
      </c>
    </row>
    <row r="33" spans="1:3" ht="17.25" customHeight="1">
      <c r="A33" s="3" t="s">
        <v>1588</v>
      </c>
      <c r="B33" s="24" t="str">
        <f>HYPERLINK("https://neurenpharma.com/angelman-syndrome","https://neurenpharma.com/angelman-syndrome")</f>
        <v>https://neurenpharma.com/angelman-syndrome</v>
      </c>
      <c r="C33" s="3" t="s">
        <v>1589</v>
      </c>
    </row>
    <row r="34" spans="1:3" ht="42.75" customHeight="1">
      <c r="A34" s="3" t="s">
        <v>1590</v>
      </c>
      <c r="B34" s="24" t="str">
        <f>HYPERLINK("https://www.biospace.com/press-releases/mavrix-bio-announces-first-patient-dosed-in-ascend-as-trial-of-mvx-220-investigational-gene-therapy-for-angelman-syndrome","https://www.biospace.com/press-releases/mavrix-bio-announces-first-patient-dosed-in-ascend-as-trial-of-mvx-220-investigational-gene-therapy-for-angelman-syndrome")</f>
        <v>https://www.biospace.com/press-releases/mavrix-bio-announces-first-patient-dosed-in-ascend-as-trial-of-mvx-220-investigational-gene-therapy-for-angelman-syndrome</v>
      </c>
      <c r="C34" s="3" t="s">
        <v>1591</v>
      </c>
    </row>
    <row r="35" spans="1:3" ht="17.25" customHeight="1">
      <c r="A35" s="3" t="s">
        <v>1592</v>
      </c>
      <c r="B35" s="24" t="str">
        <f>HYPERLINK("https://www.angelmanregistry.info/","https://www.angelmanregistry.info/")</f>
        <v>https://www.angelmanregistry.info/</v>
      </c>
      <c r="C35" s="3" t="s">
        <v>1593</v>
      </c>
    </row>
    <row r="36" spans="1:3" ht="17.25" customHeight="1">
      <c r="A36" s="3" t="s">
        <v>1594</v>
      </c>
      <c r="B36" s="24" t="str">
        <f>HYPERLINK("https://angelman.org/news-blog/international-clinic-network/","https://angelman.org/news-blog/international-clinic-network/")</f>
        <v>https://angelman.org/news-blog/international-clinic-network/</v>
      </c>
      <c r="C36" s="3" t="s">
        <v>1595</v>
      </c>
    </row>
    <row r="37" spans="1:3" ht="30" customHeight="1">
      <c r="A37" s="3" t="s">
        <v>1596</v>
      </c>
      <c r="B37" s="24" t="str">
        <f>HYPERLINK("https://laddertotreatment.org/","https://laddertotreatment.org/")</f>
        <v>https://laddertotreatment.org/</v>
      </c>
      <c r="C37" s="3" t="s">
        <v>1597</v>
      </c>
    </row>
    <row r="38" spans="1:3" ht="17.25" customHeight="1">
      <c r="A38" s="3" t="s">
        <v>1598</v>
      </c>
      <c r="B38" s="24" t="str">
        <f>HYPERLINK("https://ern-ithaca.eu/about-us/expert-centers/","https://ern-ithaca.eu/about-us/expert-centers/")</f>
        <v>https://ern-ithaca.eu/about-us/expert-centers/</v>
      </c>
      <c r="C38" s="3" t="s">
        <v>1599</v>
      </c>
    </row>
    <row r="39" spans="1:3" ht="17.25" customHeight="1">
      <c r="A39" s="3" t="s">
        <v>1600</v>
      </c>
      <c r="B39" s="24" t="str">
        <f>HYPERLINK("https://epi-care.eu/","https://epi-care.eu/")</f>
        <v>https://epi-care.eu/</v>
      </c>
      <c r="C39" s="3" t="s">
        <v>1601</v>
      </c>
    </row>
    <row r="40" spans="1:3" ht="17.25" customHeight="1">
      <c r="A40" s="3" t="s">
        <v>1602</v>
      </c>
      <c r="B40" s="24" t="str">
        <f>HYPERLINK("https://webgate.ec.europa.eu/ernsd/","https://webgate.ec.europa.eu/ernsd/")</f>
        <v>https://webgate.ec.europa.eu/ernsd/</v>
      </c>
      <c r="C40" s="3" t="s">
        <v>1603</v>
      </c>
    </row>
    <row r="41" spans="1:3" ht="17.25" customHeight="1">
      <c r="A41" s="3" t="s">
        <v>1604</v>
      </c>
      <c r="B41" s="24" t="str">
        <f>HYPERLINK("https://www.orpha.net/en/disease/detail/72","https://www.orpha.net/en/disease/detail/72")</f>
        <v>https://www.orpha.net/en/disease/detail/72</v>
      </c>
      <c r="C41" s="3" t="s">
        <v>1605</v>
      </c>
    </row>
    <row r="42" spans="1:3" ht="17.25" customHeight="1">
      <c r="A42" s="3" t="s">
        <v>1606</v>
      </c>
      <c r="B42" s="24" t="str">
        <f>HYPERLINK("https://angelman.de/","https://angelman.de/")</f>
        <v>https://angelman.de/</v>
      </c>
      <c r="C42" s="3" t="s">
        <v>1607</v>
      </c>
    </row>
    <row r="43" spans="1:3" ht="17.25" customHeight="1">
      <c r="A43" s="3" t="s">
        <v>1608</v>
      </c>
      <c r="B43" s="24" t="str">
        <f>HYPERLINK("https://www.angelman-afsa.org/","https://www.angelman-afsa.org/")</f>
        <v>https://www.angelman-afsa.org/</v>
      </c>
      <c r="C43" s="3" t="s">
        <v>1609</v>
      </c>
    </row>
    <row r="44" spans="1:3" ht="17.25" customHeight="1">
      <c r="A44" s="3" t="s">
        <v>1610</v>
      </c>
      <c r="B44" s="24" t="str">
        <f>HYPERLINK("https://sindromediangelman.org/","https://sindromediangelman.org/")</f>
        <v>https://sindromediangelman.org/</v>
      </c>
      <c r="C44" s="3" t="s">
        <v>1611</v>
      </c>
    </row>
    <row r="45" spans="1:3" ht="30" customHeight="1">
      <c r="A45" s="3" t="s">
        <v>1612</v>
      </c>
      <c r="B45" s="24" t="str">
        <f>HYPERLINK("https://www.associazioneangelman.it/","https://www.associazioneangelman.it/")</f>
        <v>https://www.associazioneangelman.it/</v>
      </c>
      <c r="C45" s="3" t="s">
        <v>1613</v>
      </c>
    </row>
    <row r="46" spans="1:3" ht="17.25" customHeight="1">
      <c r="A46" s="3" t="s">
        <v>1614</v>
      </c>
      <c r="B46" s="24" t="str">
        <f>HYPERLINK("https://angelman-asa.org/","https://angelman-asa.org/")</f>
        <v>https://angelman-asa.org/</v>
      </c>
      <c r="C46" s="3" t="s">
        <v>1615</v>
      </c>
    </row>
    <row r="47" spans="1:3" ht="17.25" customHeight="1">
      <c r="A47" s="3" t="s">
        <v>1616</v>
      </c>
      <c r="B47" s="24" t="str">
        <f>HYPERLINK("https://www.angelmanuk.org/","https://www.angelmanuk.org/")</f>
        <v>https://www.angelmanuk.org/</v>
      </c>
      <c r="C47" s="3" t="s">
        <v>1617</v>
      </c>
    </row>
    <row r="48" spans="1:3" ht="17.25" customHeight="1">
      <c r="A48" s="3" t="s">
        <v>1618</v>
      </c>
      <c r="B48" s="24" t="str">
        <f>HYPERLINK("https://cureangelman.org.uk/","https://cureangelman.org.uk/")</f>
        <v>https://cureangelman.org.uk/</v>
      </c>
      <c r="C48" s="3" t="s">
        <v>1619</v>
      </c>
    </row>
    <row r="49" spans="1:3" ht="17.25" customHeight="1">
      <c r="A49" s="3" t="s">
        <v>1620</v>
      </c>
      <c r="B49" s="24" t="str">
        <f>HYPERLINK("https://cureangelman.org/current-pipeline","https://cureangelman.org/current-pipeline")</f>
        <v>https://cureangelman.org/current-pipeline</v>
      </c>
      <c r="C49" s="3" t="s">
        <v>1621</v>
      </c>
    </row>
    <row r="50" spans="1:3" ht="30" customHeight="1">
      <c r="A50" s="3" t="s">
        <v>1622</v>
      </c>
      <c r="B50" s="24" t="str">
        <f>HYPERLINK("https://ichgcp.net/de/clinical-trials-registry/NCT06617429","https://ichgcp.net/de/clinical-trials-registry/NCT06617429")</f>
        <v>https://ichgcp.net/de/clinical-trials-registry/NCT06617429</v>
      </c>
      <c r="C50" s="3" t="s">
        <v>1623</v>
      </c>
    </row>
    <row r="51" spans="1:3" ht="42.75" customHeight="1">
      <c r="A51" s="3" t="s">
        <v>1624</v>
      </c>
      <c r="B51" s="24" t="str">
        <f>HYPERLINK("https://forpatients.roche.com/en/trials/neurodevelopmental-disorder/angelman-syndrome/study-to-investigate-the-pharmacokinetics-and-safety-an-84203.html","https://forpatients.roche.com/en/trials/neurodevelopmental-disorder/angelman-syndrome/study-to-investigate-the-pharmacokinetics-and-safety-an-84203.html")</f>
        <v>https://forpatients.roche.com/en/trials/neurodevelopmental-disorder/angelman-syndrome/study-to-investigate-the-pharmacokinetics-and-safety-an-84203.html</v>
      </c>
      <c r="C51" s="3" t="s">
        <v>1625</v>
      </c>
    </row>
    <row r="52" spans="1:3" ht="42.75" customHeight="1">
      <c r="A52" s="3" t="s">
        <v>1626</v>
      </c>
      <c r="B52" s="24" t="str">
        <f>HYPERLINK("https://www.oakhillbio.com/news/oak-hill-bio-announces-dosing-of-first-participant-in-beacon-phase-3-clinical-trial-of-rugonersen-in-angelman-syndrome","https://www.oakhillbio.com/news/oak-hill-bio-announces-dosing-of-first-participant-in-beacon-phase-3-clinical-trial-of-rugonersen-in-angelman-syndrome")</f>
        <v>https://www.oakhillbio.com/news/oak-hill-bio-announces-dosing-of-first-participant-in-beacon-phase-3-clinical-trial-of-rugonersen-in-angelman-syndrome</v>
      </c>
      <c r="C52" s="3" t="s">
        <v>1627</v>
      </c>
    </row>
    <row r="53" spans="1:3" ht="42.75" customHeight="1">
      <c r="A53" s="3" t="s">
        <v>1628</v>
      </c>
      <c r="B53" s="24" t="str">
        <f>HYPERLINK("https://www.lmu-klinikum.de/ispz/schwerpunkte/kinderneurologie-und-entwicklungsneurologie/angelman-zentrum-munchen/92177eec075dcc14","https://www.lmu-klinikum.de/ispz/schwerpunkte/kinderneurologie-und-entwicklungsneurologie/angelman-zentrum-munchen/92177eec075dcc14")</f>
        <v>https://www.lmu-klinikum.de/ispz/schwerpunkte/kinderneurologie-und-entwicklungsneurologie/angelman-zentrum-munchen/92177eec075dcc14</v>
      </c>
      <c r="C53" s="3" t="s">
        <v>1629</v>
      </c>
    </row>
    <row r="54" spans="1:3" ht="30" customHeight="1">
      <c r="A54" s="3" t="s">
        <v>1630</v>
      </c>
      <c r="B54" s="24" t="str">
        <f>HYPERLINK("https://angelman.de/hilfe-fuer-eltern/angelman-zentren/","https://angelman.de/hilfe-fuer-eltern/angelman-zentren/")</f>
        <v>https://angelman.de/hilfe-fuer-eltern/angelman-zentren/</v>
      </c>
      <c r="C54" s="3" t="s">
        <v>1631</v>
      </c>
    </row>
    <row r="55" spans="1:3" ht="30" customHeight="1">
      <c r="A55" s="3" t="s">
        <v>1632</v>
      </c>
      <c r="B55" s="24" t="str">
        <f>HYPERLINK("https://www.ukaachen.de/fileadmin/files/zentren/mzeb/Angelman_Beiratsflyer.pdf","https://www.ukaachen.de/fileadmin/files/zentren/mzeb/Angelman_Beiratsflyer.pdf")</f>
        <v>https://www.ukaachen.de/fileadmin/files/zentren/mzeb/Angelman_Beiratsflyer.pdf</v>
      </c>
      <c r="C55" s="3" t="s">
        <v>1633</v>
      </c>
    </row>
    <row r="56" spans="1:3" ht="30" customHeight="1">
      <c r="A56" s="3" t="s">
        <v>1634</v>
      </c>
      <c r="B56" s="24" t="str">
        <f>HYPERLINK("https://www.thieme-connect.com/products/ejournals/html/10.1055/a-2399-0191","https://www.thieme-connect.com/products/ejournals/html/10.1055/a-2399-0191")</f>
        <v>https://www.thieme-connect.com/products/ejournals/html/10.1055/a-2399-0191</v>
      </c>
      <c r="C56" s="3" t="s">
        <v>1635</v>
      </c>
    </row>
    <row r="57" spans="1:3" ht="42.75" customHeight="1">
      <c r="A57" s="3" t="s">
        <v>1636</v>
      </c>
      <c r="B57" s="24" t="str">
        <f>HYPERLINK("https://pubmed.ncbi.nlm.nih.gov/42771958/","https://pubmed.ncbi.nlm.nih.gov/42771958/")</f>
        <v>https://pubmed.ncbi.nlm.nih.gov/42771958/</v>
      </c>
      <c r="C57" s="3" t="s">
        <v>1637</v>
      </c>
    </row>
    <row r="58" spans="1:3" ht="30" customHeight="1">
      <c r="A58" s="3" t="s">
        <v>1638</v>
      </c>
      <c r="B58" s="24" t="str">
        <f>HYPERLINK("https://www.uniklinikum-leipzig.de/einrichtungen/humangenetik/Seiten/de_Forschung-Fragebogen-Angelman-Syndrom.aspx","https://www.uniklinikum-leipzig.de/einrichtungen/humangenetik/Seiten/de_Forschung-Fragebogen-Angelman-Syndrom.aspx")</f>
        <v>https://www.uniklinikum-leipzig.de/einrichtungen/humangenetik/Seiten/de_Forschung-Fragebogen-Angelman-Syndrom.aspx</v>
      </c>
      <c r="C58" s="3" t="s">
        <v>1639</v>
      </c>
    </row>
    <row r="59" spans="1:3" ht="42.75" customHeight="1">
      <c r="A59" s="3" t="s">
        <v>1640</v>
      </c>
      <c r="B59" s="24" t="str">
        <f>HYPERLINK("https://pubmed.ncbi.nlm.nih.gov/31235867/","https://pubmed.ncbi.nlm.nih.gov/31235867/")</f>
        <v>https://pubmed.ncbi.nlm.nih.gov/31235867/</v>
      </c>
      <c r="C59" s="3" t="s">
        <v>1641</v>
      </c>
    </row>
    <row r="60" spans="1:3" ht="30" customHeight="1">
      <c r="A60" s="3" t="s">
        <v>1642</v>
      </c>
      <c r="B60" s="24" t="str">
        <f>HYPERLINK("https://www.se-atlas.de/map/ern/ERN%20ITHACA","https://www.se-atlas.de/map/ern/ERN%20ITHACA")</f>
        <v>https://www.se-atlas.de/map/ern/ERN%20ITHACA</v>
      </c>
      <c r="C60" s="3" t="s">
        <v>1643</v>
      </c>
    </row>
    <row r="61" spans="1:3" ht="17.25" customHeight="1">
      <c r="A61" s="3" t="s">
        <v>1644</v>
      </c>
      <c r="B61" s="24" t="str">
        <f>HYPERLINK("https://epi-care.eu/ern-epicare-centres/","https://epi-care.eu/ern-epicare-centres/")</f>
        <v>https://epi-care.eu/ern-epicare-centres/</v>
      </c>
      <c r="C61" s="3" t="s">
        <v>1645</v>
      </c>
    </row>
    <row r="62" spans="1:3" ht="17.25" customHeight="1">
      <c r="A62" s="3" t="s">
        <v>1646</v>
      </c>
      <c r="B62" s="24" t="str">
        <f>HYPERLINK("https://www.se-atlas.de/map/zse/","https://www.se-atlas.de/map/zse/")</f>
        <v>https://www.se-atlas.de/map/zse/</v>
      </c>
      <c r="C62" s="3" t="s">
        <v>1647</v>
      </c>
    </row>
    <row r="63" spans="1:3" ht="30" customHeight="1">
      <c r="A63" s="3" t="s">
        <v>1648</v>
      </c>
      <c r="B63" s="24" t="str">
        <f>HYPERLINK("https://www.ukaachen.de/kliniken-institute/mzeb/fuer-patienten-und-zuweiser/angelman-zentrum-aachen/","https://www.ukaachen.de/kliniken-institute/mzeb/fuer-patienten-und-zuweiser/angelman-zentrum-aachen/")</f>
        <v>https://www.ukaachen.de/kliniken-institute/mzeb/fuer-patienten-und-zuweiser/angelman-zentrum-aachen/</v>
      </c>
      <c r="C63" s="3" t="s">
        <v>1649</v>
      </c>
    </row>
    <row r="64" spans="1:3" ht="30" customHeight="1">
      <c r="A64" s="3" t="s">
        <v>1650</v>
      </c>
      <c r="B64" s="24" t="str">
        <f>HYPERLINK("https://www.uke.de/kliniken-institute/kliniken/kinder-und-jugendmedizin/forschung/klinische-forschung/neurop%C3%A4diatrie.html","https://www.uke.de/kliniken-institute/kliniken/kinder-und-jugendmedizin/forschung/klinische-forschung/neurop%C3%A4diatrie.html")</f>
        <v>https://www.uke.de/kliniken-institute/kliniken/kinder-und-jugendmedizin/forschung/klinische-forschung/neurop%C3%A4diatrie.html</v>
      </c>
      <c r="C64" s="3" t="s">
        <v>1651</v>
      </c>
    </row>
    <row r="65" spans="1:3" ht="30" customHeight="1">
      <c r="A65" s="3" t="s">
        <v>1652</v>
      </c>
      <c r="B65" s="24" t="str">
        <f>HYPERLINK("https://pubmed.ncbi.nlm.nih.gov/35150089/","https://pubmed.ncbi.nlm.nih.gov/35150089/")</f>
        <v>https://pubmed.ncbi.nlm.nih.gov/35150089/</v>
      </c>
      <c r="C65" s="3" t="s">
        <v>1653</v>
      </c>
    </row>
    <row r="66" spans="1:3" ht="17.25" customHeight="1">
      <c r="A66" s="3" t="s">
        <v>1654</v>
      </c>
      <c r="B66" s="24" t="str">
        <f>HYPERLINK("https://cureangelman.org/news","https://cureangelman.org/news")</f>
        <v>https://cureangelman.org/news</v>
      </c>
      <c r="C66" s="3" t="s">
        <v>1655</v>
      </c>
    </row>
    <row r="67" spans="1:3" ht="30" customHeight="1">
      <c r="A67" s="3" t="s">
        <v>1656</v>
      </c>
      <c r="B67" s="24" t="str">
        <f>HYPERLINK("https://www.has-sante.fr/upload/docs/application/pdf/2021-11/pnds_angelman_vf_.doc.pdf","https://www.has-sante.fr/upload/docs/application/pdf/2021-11/pnds_angelman_vf_.doc.pdf")</f>
        <v>https://www.has-sante.fr/upload/docs/application/pdf/2021-11/pnds_angelman_vf_.doc.pdf</v>
      </c>
      <c r="C67" s="3" t="s">
        <v>1657</v>
      </c>
    </row>
    <row r="68" spans="1:3" ht="30" customHeight="1">
      <c r="A68" s="3" t="s">
        <v>1658</v>
      </c>
      <c r="B68" s="24" t="str">
        <f>HYPERLINK("https://www.has-sante.fr/upload/docs/application/pdf/2021-11/argumentaire_pnds_angelman_vf.pdf","https://www.has-sante.fr/upload/docs/application/pdf/2021-11/argumentaire_pnds_angelman_vf.pdf")</f>
        <v>https://www.has-sante.fr/upload/docs/application/pdf/2021-11/argumentaire_pnds_angelman_vf.pdf</v>
      </c>
      <c r="C68" s="3" t="s">
        <v>1659</v>
      </c>
    </row>
    <row r="69" spans="1:3" ht="30" customHeight="1">
      <c r="A69" s="3" t="s">
        <v>1660</v>
      </c>
      <c r="B69" s="24" t="str">
        <f>HYPERLINK("https://doi.org/10.1002/mgg3.1843","https://doi.org/10.1002/mgg3.1843")</f>
        <v>https://doi.org/10.1002/mgg3.1843</v>
      </c>
      <c r="C69" s="3" t="s">
        <v>1661</v>
      </c>
    </row>
    <row r="70" spans="1:3" ht="42.75" customHeight="1">
      <c r="A70" s="3" t="s">
        <v>1662</v>
      </c>
      <c r="B70" s="24" t="str">
        <f>HYPERLINK("https://www.angelman-afsa.org/afsa/son-equipe/conseil-medical-et-scientifique/afsa/son-equipe/conseil-medical-et-scientifique/le-conseil-medical-et-scientifique","https://www.angelman-afsa.org/afsa/son-equipe/conseil-medical-et-scientifique/afsa/son-equipe/conseil-medical-et-scientifique/le-conseil-medical-et-scientifique")</f>
        <v>https://www.angelman-afsa.org/afsa/son-equipe/conseil-medical-et-scientifique/afsa/son-equipe/conseil-medical-et-scientifique/le-conseil-medical-et-scientifique</v>
      </c>
      <c r="C70" s="3" t="s">
        <v>1663</v>
      </c>
    </row>
    <row r="71" spans="1:3" ht="30" customHeight="1">
      <c r="A71" s="3" t="s">
        <v>1664</v>
      </c>
      <c r="B71" s="24" t="str">
        <f>HYPERLINK("https://www.angelman-afsa.org/afsa/son-equipe/conseil-medical-et-scientifique/nouvelle-presidence-du-cms","https://www.angelman-afsa.org/afsa/son-equipe/conseil-medical-et-scientifique/nouvelle-presidence-du-cms")</f>
        <v>https://www.angelman-afsa.org/afsa/son-equipe/conseil-medical-et-scientifique/nouvelle-presidence-du-cms</v>
      </c>
      <c r="C71" s="3" t="s">
        <v>1665</v>
      </c>
    </row>
    <row r="72" spans="1:3" ht="17.25" customHeight="1">
      <c r="A72" s="3" t="s">
        <v>1666</v>
      </c>
      <c r="B72" s="24" t="str">
        <f>HYPERLINK("https://www.livret-angelman-afsa.org/les-contributeurs","https://www.livret-angelman-afsa.org/les-contributeurs")</f>
        <v>https://www.livret-angelman-afsa.org/les-contributeurs</v>
      </c>
      <c r="C72" s="3" t="s">
        <v>1667</v>
      </c>
    </row>
    <row r="73" spans="1:3" ht="30" customHeight="1">
      <c r="A73" s="3" t="s">
        <v>1668</v>
      </c>
      <c r="B73" s="24" t="str">
        <f>HYPERLINK("https://www.angelman-afsa.org/fichiers/Rapport%20d'Activites%202021-1654173306.pdf","https://www.angelman-afsa.org/fichiers/Rapport%20d'Activites%202021-1654173306.pdf")</f>
        <v>https://www.angelman-afsa.org/fichiers/Rapport%20d'Activites%202021-1654173306.pdf</v>
      </c>
      <c r="C73" s="3" t="s">
        <v>1669</v>
      </c>
    </row>
    <row r="74" spans="1:3" ht="30" customHeight="1">
      <c r="A74" s="3" t="s">
        <v>1670</v>
      </c>
      <c r="B74" s="24" t="str">
        <f>HYPERLINK("https://ern-ithaca.eu/about-us/expert-centers/ern-ithaca-paris-center-robert-debre-university-hospital/","https://ern-ithaca.eu/about-us/expert-centers/ern-ithaca-paris-center-robert-debre-university-hospital/")</f>
        <v>https://ern-ithaca.eu/about-us/expert-centers/ern-ithaca-paris-center-robert-debre-university-hospital/</v>
      </c>
      <c r="C74" s="3" t="s">
        <v>1671</v>
      </c>
    </row>
    <row r="75" spans="1:3" ht="17.25" customHeight="1">
      <c r="A75" s="3" t="s">
        <v>1672</v>
      </c>
      <c r="B75" s="24" t="str">
        <f>HYPERLINK("https://ern-ithaca.eu/about-us/who-we-are/","https://ern-ithaca.eu/about-us/who-we-are/")</f>
        <v>https://ern-ithaca.eu/about-us/who-we-are/</v>
      </c>
      <c r="C75" s="3" t="s">
        <v>1673</v>
      </c>
    </row>
    <row r="76" spans="1:3" ht="30" customHeight="1">
      <c r="A76" s="3" t="s">
        <v>1674</v>
      </c>
      <c r="B76" s="24" t="str">
        <f>HYPERLINK("https://ern-ithaca.eu/about-us/expert-centers/ern-ithaca-lyon-center/","https://ern-ithaca.eu/about-us/expert-centers/ern-ithaca-lyon-center/")</f>
        <v>https://ern-ithaca.eu/about-us/expert-centers/ern-ithaca-lyon-center/</v>
      </c>
      <c r="C76" s="3" t="s">
        <v>1675</v>
      </c>
    </row>
    <row r="77" spans="1:3" ht="30" customHeight="1">
      <c r="A77" s="3" t="s">
        <v>1676</v>
      </c>
      <c r="B77" s="24" t="str">
        <f>HYPERLINK("https://ern-ithaca.eu/about-us/expert-centers/ern-ithaca-dijon-center/","https://ern-ithaca.eu/about-us/expert-centers/ern-ithaca-dijon-center/")</f>
        <v>https://ern-ithaca.eu/about-us/expert-centers/ern-ithaca-dijon-center/</v>
      </c>
      <c r="C77" s="3" t="s">
        <v>1677</v>
      </c>
    </row>
    <row r="78" spans="1:3" ht="17.25" customHeight="1">
      <c r="A78" s="3" t="s">
        <v>1678</v>
      </c>
      <c r="B78" s="24" t="str">
        <f>HYPERLINK("https://epi-care.eu/hospitals/necker-enfants-malades-aphp/","https://epi-care.eu/hospitals/necker-enfants-malades-aphp/")</f>
        <v>https://epi-care.eu/hospitals/necker-enfants-malades-aphp/</v>
      </c>
      <c r="C78" s="3" t="s">
        <v>1679</v>
      </c>
    </row>
    <row r="79" spans="1:3" ht="17.25" customHeight="1">
      <c r="A79" s="3" t="s">
        <v>1680</v>
      </c>
      <c r="B79" s="24" t="str">
        <f>HYPERLINK("https://maladiesrares-necker.aphp.fr/rare-epilepsies/","https://maladiesrares-necker.aphp.fr/rare-epilepsies/")</f>
        <v>https://maladiesrares-necker.aphp.fr/rare-epilepsies/</v>
      </c>
      <c r="C79" s="3" t="s">
        <v>1681</v>
      </c>
    </row>
    <row r="80" spans="1:3" ht="17.25" customHeight="1">
      <c r="A80" s="3" t="s">
        <v>1682</v>
      </c>
      <c r="B80" s="24" t="str">
        <f>HYPERLINK("https://www.institutimagine.org/en/users/rimanabboutaphpfr","https://www.institutimagine.org/en/users/rimanabboutaphpfr")</f>
        <v>https://www.institutimagine.org/en/users/rimanabboutaphpfr</v>
      </c>
      <c r="C80" s="3" t="s">
        <v>1683</v>
      </c>
    </row>
    <row r="81" spans="1:3" ht="17.25" customHeight="1">
      <c r="A81" s="3" t="s">
        <v>1684</v>
      </c>
      <c r="B81" s="24" t="str">
        <f>HYPERLINK("https://stxbp1eu.org/france/","https://stxbp1eu.org/france/")</f>
        <v>https://stxbp1eu.org/france/</v>
      </c>
      <c r="C81" s="3" t="s">
        <v>1685</v>
      </c>
    </row>
    <row r="82" spans="1:3" ht="30" customHeight="1">
      <c r="A82" s="3" t="s">
        <v>1686</v>
      </c>
      <c r="B82" s="24" t="str">
        <f>HYPERLINK("https://novapharmanews.com/eu/news/apazunersen-aspire-angelman-misses-endpoints","https://novapharmanews.com/eu/news/apazunersen-aspire-angelman-misses-endpoints")</f>
        <v>https://novapharmanews.com/eu/news/apazunersen-aspire-angelman-misses-endpoints</v>
      </c>
      <c r="C82" s="3" t="s">
        <v>1687</v>
      </c>
    </row>
    <row r="83" spans="1:3" ht="17.25" customHeight="1">
      <c r="A83" s="3" t="s">
        <v>1688</v>
      </c>
      <c r="B83" s="24" t="str">
        <f>HYPERLINK("https://pubmed.ncbi.nlm.nih.gov/37872275/","https://pubmed.ncbi.nlm.nih.gov/37872275/")</f>
        <v>https://pubmed.ncbi.nlm.nih.gov/37872275/</v>
      </c>
      <c r="C83" s="3" t="s">
        <v>1689</v>
      </c>
    </row>
    <row r="84" spans="1:3" ht="30" customHeight="1">
      <c r="A84" s="3" t="s">
        <v>1690</v>
      </c>
      <c r="B84" s="24" t="str">
        <f>HYPERLINK("https://www.aphp.fr/registre-des-essais-cliniques/etude-visant-evaluer-la-securite-la-tolerance-la-pharmacocinetique-et","https://www.aphp.fr/registre-des-essais-cliniques/etude-visant-evaluer-la-securite-la-tolerance-la-pharmacocinetique-et")</f>
        <v>https://www.aphp.fr/registre-des-essais-cliniques/etude-visant-evaluer-la-securite-la-tolerance-la-pharmacocinetique-et</v>
      </c>
      <c r="C84" s="3" t="s">
        <v>1691</v>
      </c>
    </row>
    <row r="85" spans="1:3" ht="17.25" customHeight="1">
      <c r="A85" s="3" t="s">
        <v>1692</v>
      </c>
      <c r="B85" s="24" t="str">
        <f>HYPERLINK("https://eichor.com/study/NCT05127226","https://eichor.com/study/NCT05127226")</f>
        <v>https://eichor.com/study/NCT05127226</v>
      </c>
      <c r="C85" s="3" t="s">
        <v>1693</v>
      </c>
    </row>
    <row r="86" spans="1:3" ht="30" customHeight="1">
      <c r="A86" s="3" t="s">
        <v>1694</v>
      </c>
      <c r="B86" s="24" t="str">
        <f>HYPERLINK("https://www.fastfrance.org/dossier-angelman/ionis-syndrome-dangelman/","https://www.fastfrance.org/dossier-angelman/ionis-syndrome-dangelman/")</f>
        <v>https://www.fastfrance.org/dossier-angelman/ionis-syndrome-dangelman/</v>
      </c>
      <c r="C86" s="3" t="s">
        <v>1695</v>
      </c>
    </row>
    <row r="87" spans="1:3" ht="30" customHeight="1">
      <c r="A87" s="3" t="s">
        <v>1696</v>
      </c>
      <c r="B87" s="24" t="str">
        <f>HYPERLINK("https://www.aphp.fr/registre-des-essais-cliniques/etude-en-ouvert-de-phase-2-de-type-panier-visant-evaluer-linnocuite","https://www.aphp.fr/registre-des-essais-cliniques/etude-en-ouvert-de-phase-2-de-type-panier-visant-evaluer-linnocuite")</f>
        <v>https://www.aphp.fr/registre-des-essais-cliniques/etude-en-ouvert-de-phase-2-de-type-panier-visant-evaluer-linnocuite</v>
      </c>
      <c r="C87" s="3" t="s">
        <v>1697</v>
      </c>
    </row>
    <row r="88" spans="1:3" ht="30" customHeight="1">
      <c r="A88" s="3" t="s">
        <v>1698</v>
      </c>
      <c r="B88" s="24" t="str">
        <f>HYPERLINK("https://hopital-broca.aphp.fr/registre-des-essais-cliniques/etude-dextension-long-terme-portant-sur-la-securite-demploi-et-65","https://hopital-broca.aphp.fr/registre-des-essais-cliniques/etude-dextension-long-terme-portant-sur-la-securite-demploi-et-65")</f>
        <v>https://hopital-broca.aphp.fr/registre-des-essais-cliniques/etude-dextension-long-terme-portant-sur-la-securite-demploi-et-65</v>
      </c>
      <c r="C88" s="3" t="s">
        <v>1699</v>
      </c>
    </row>
    <row r="89" spans="1:3" ht="30" customHeight="1">
      <c r="A89" s="3" t="s">
        <v>1700</v>
      </c>
      <c r="B89" s="24" t="str">
        <f>HYPERLINK("https://onlinelibrary.wiley.com/doi/epdf/10.1002/mgg3.1843","https://onlinelibrary.wiley.com/doi/epdf/10.1002/mgg3.1843")</f>
        <v>https://onlinelibrary.wiley.com/doi/epdf/10.1002/mgg3.1843</v>
      </c>
      <c r="C89" s="3" t="s">
        <v>1701</v>
      </c>
    </row>
    <row r="90" spans="1:3" ht="17.25" customHeight="1">
      <c r="A90" s="3" t="s">
        <v>1702</v>
      </c>
      <c r="B90" s="24" t="str">
        <f>HYPERLINK("https://sindromediangelman.org/centri-sintrome-di-angelman/","https://sindromediangelman.org/centri-sintrome-di-angelman/")</f>
        <v>https://sindromediangelman.org/centri-sintrome-di-angelman/</v>
      </c>
      <c r="C90" s="3" t="s">
        <v>1703</v>
      </c>
    </row>
    <row r="91" spans="1:3" ht="30" customHeight="1">
      <c r="A91" s="3" t="s">
        <v>1704</v>
      </c>
      <c r="B91" s="24" t="str">
        <f>HYPERLINK("https://sindromediangelman.org/percorsi-diagnostici-sindrome-di-angelman/","https://sindromediangelman.org/percorsi-diagnostici-sindrome-di-angelman/")</f>
        <v>https://sindromediangelman.org/percorsi-diagnostici-sindrome-di-angelman/</v>
      </c>
      <c r="C91" s="3" t="s">
        <v>1705</v>
      </c>
    </row>
    <row r="92" spans="1:3" ht="30" customHeight="1">
      <c r="A92" s="3" t="s">
        <v>1706</v>
      </c>
      <c r="B92" s="24" t="str">
        <f>HYPERLINK("https://ichgcp.net/clinical-trials-registry/NCT06914609","https://ichgcp.net/clinical-trials-registry/NCT06914609")</f>
        <v>https://ichgcp.net/clinical-trials-registry/NCT06914609</v>
      </c>
      <c r="C92" s="3" t="s">
        <v>1707</v>
      </c>
    </row>
    <row r="93" spans="1:3" ht="17.25" customHeight="1">
      <c r="A93" s="3" t="s">
        <v>1708</v>
      </c>
      <c r="B93" s="24" t="str">
        <f>HYPERLINK("https://ichgcp.net/clinical-trials-registry/NCT05127226","https://ichgcp.net/clinical-trials-registry/NCT05127226")</f>
        <v>https://ichgcp.net/clinical-trials-registry/NCT05127226</v>
      </c>
      <c r="C93" s="3" t="s">
        <v>1709</v>
      </c>
    </row>
    <row r="94" spans="1:3" ht="17.25" customHeight="1">
      <c r="A94" s="3" t="s">
        <v>1710</v>
      </c>
      <c r="B94" s="24" t="str">
        <f>HYPERLINK("https://ichgcp.net/clinical-trials-registry/NCT06617429","https://ichgcp.net/clinical-trials-registry/NCT06617429")</f>
        <v>https://ichgcp.net/clinical-trials-registry/NCT06617429</v>
      </c>
      <c r="C94" s="3" t="s">
        <v>1711</v>
      </c>
    </row>
    <row r="95" spans="1:3" ht="30" customHeight="1">
      <c r="A95" s="3" t="s">
        <v>1712</v>
      </c>
      <c r="B95" s="24" t="str">
        <f>HYPERLINK("https://ichgcp.net/clinical-trials-registry/NCT07157254","https://ichgcp.net/clinical-trials-registry/NCT07157254")</f>
        <v>https://ichgcp.net/clinical-trials-registry/NCT07157254</v>
      </c>
      <c r="C95" s="3" t="s">
        <v>1713</v>
      </c>
    </row>
    <row r="96" spans="1:3" ht="30" customHeight="1">
      <c r="A96" s="3" t="s">
        <v>1714</v>
      </c>
      <c r="B96" s="24" t="str">
        <f>HYPERLINK("https://sindromediangelman.org/wp-content/uploads/2026/01/Aggiornamento-Trial-Ultragenix.pdf","https://sindromediangelman.org/wp-content/uploads/2026/01/Aggiornamento-Trial-Ultragenix.pdf")</f>
        <v>https://sindromediangelman.org/wp-content/uploads/2026/01/Aggiornamento-Trial-Ultragenix.pdf</v>
      </c>
      <c r="C96" s="3" t="s">
        <v>1715</v>
      </c>
    </row>
    <row r="97" spans="1:3" ht="17.25" customHeight="1">
      <c r="A97" s="3" t="s">
        <v>1716</v>
      </c>
      <c r="B97" s="24" t="str">
        <f>HYPERLINK("https://ctis.eu/trial/2024-519393-39-00","https://ctis.eu/trial/2024-519393-39-00")</f>
        <v>https://ctis.eu/trial/2024-519393-39-00</v>
      </c>
      <c r="C97" s="3" t="s">
        <v>1717</v>
      </c>
    </row>
    <row r="98" spans="1:3" ht="17.25" customHeight="1">
      <c r="A98" s="3" t="s">
        <v>1718</v>
      </c>
      <c r="B98" s="24" t="str">
        <f>HYPERLINK("https://www.malattierare.gov.it/ern/ricerca","https://www.malattierare.gov.it/ern/ricerca")</f>
        <v>https://www.malattierare.gov.it/ern/ricerca</v>
      </c>
      <c r="C98" s="3" t="s">
        <v>1719</v>
      </c>
    </row>
    <row r="99" spans="1:3" ht="17.25" customHeight="1">
      <c r="A99" s="3" t="s">
        <v>1720</v>
      </c>
      <c r="B99" s="24" t="str">
        <f>HYPERLINK("https://www.epag-italia.it/it/ern/ern-epicare","https://www.epag-italia.it/it/ern/ern-epicare")</f>
        <v>https://www.epag-italia.it/it/ern/ern-epicare</v>
      </c>
      <c r="C99" s="3" t="s">
        <v>1721</v>
      </c>
    </row>
    <row r="100" spans="1:3" ht="30" customHeight="1">
      <c r="A100" s="3" t="s">
        <v>1722</v>
      </c>
      <c r="B100" s="24" t="str">
        <f>HYPERLINK("https://www.malattierare.gov.it/centri_cura/elenco_per_malattia/130","https://www.malattierare.gov.it/centri_cura/elenco_per_malattia/130")</f>
        <v>https://www.malattierare.gov.it/centri_cura/elenco_per_malattia/130</v>
      </c>
      <c r="C100" s="3" t="s">
        <v>1723</v>
      </c>
    </row>
    <row r="101" spans="1:3" ht="30" customHeight="1">
      <c r="A101" s="3" t="s">
        <v>1724</v>
      </c>
      <c r="B101" s="24" t="str">
        <f>HYPERLINK("https://www.dottnet.it/articolo/32526756/sindrome-di-angelman-nasce-la-prima-biobanca-di-campioni-biologici/","https://www.dottnet.it/articolo/32526756/sindrome-di-angelman-nasce-la-prima-biobanca-di-campioni-biologici/")</f>
        <v>https://www.dottnet.it/articolo/32526756/sindrome-di-angelman-nasce-la-prima-biobanca-di-campioni-biologici/</v>
      </c>
      <c r="C101" s="3" t="s">
        <v>1725</v>
      </c>
    </row>
    <row r="102" spans="1:3" ht="17.25" customHeight="1">
      <c r="A102" s="3" t="s">
        <v>1726</v>
      </c>
      <c r="B102" s="24" t="str">
        <f>HYPERLINK("https://pubmed.ncbi.nlm.nih.gov/39175208/","https://pubmed.ncbi.nlm.nih.gov/39175208/")</f>
        <v>https://pubmed.ncbi.nlm.nih.gov/39175208/</v>
      </c>
      <c r="C102" s="3" t="s">
        <v>1727</v>
      </c>
    </row>
    <row r="103" spans="1:3" ht="30" customHeight="1">
      <c r="A103" s="3" t="s">
        <v>1728</v>
      </c>
      <c r="B103" s="24" t="str">
        <f>HYPERLINK("https://pubmed.ncbi.nlm.nih.gov/42733627/","https://pubmed.ncbi.nlm.nih.gov/42733627/")</f>
        <v>https://pubmed.ncbi.nlm.nih.gov/42733627/</v>
      </c>
      <c r="C103" s="3" t="s">
        <v>1729</v>
      </c>
    </row>
    <row r="104" spans="1:3" ht="30" customHeight="1">
      <c r="A104" s="3" t="s">
        <v>1730</v>
      </c>
      <c r="B104" s="24" t="str">
        <f>HYPERLINK("https://www.epilepsybehavior.com/article/S1525-5050%2817%2930196-8/fulltext","https://www.epilepsybehavior.com/article/S1525-5050%2817%2930196-8/fulltext")</f>
        <v>https://www.epilepsybehavior.com/article/S1525-5050%2817%2930196-8/fulltext</v>
      </c>
      <c r="C104" s="3" t="s">
        <v>1731</v>
      </c>
    </row>
    <row r="105" spans="1:3" ht="30" customHeight="1">
      <c r="A105" s="3" t="s">
        <v>1732</v>
      </c>
      <c r="B105" s="24" t="str">
        <f>HYPERLINK("https://angelmanalliance.org/publications-of-asa-founded-researchers/","https://angelmanalliance.org/publications-of-asa-founded-researchers/")</f>
        <v>https://angelmanalliance.org/publications-of-asa-founded-researchers/</v>
      </c>
      <c r="C105" s="3" t="s">
        <v>1733</v>
      </c>
    </row>
    <row r="106" spans="1:3" ht="30" customHeight="1">
      <c r="A106" s="3" t="s">
        <v>1734</v>
      </c>
      <c r="B106" s="24" t="str">
        <f>HYPERLINK("https://www.mdpi.com/2077-0383/13/12/3520","https://www.mdpi.com/2077-0383/13/12/3520")</f>
        <v>https://www.mdpi.com/2077-0383/13/12/3520</v>
      </c>
      <c r="C106" s="3" t="s">
        <v>1735</v>
      </c>
    </row>
    <row r="107" spans="1:3" ht="42.75" customHeight="1">
      <c r="A107" s="3" t="s">
        <v>1736</v>
      </c>
      <c r="B107" s="24" t="str">
        <f>HYPERLINK("https://ctis.eu/trial/2024-519711-33-01","https://ctis.eu/trial/2024-519711-33-01")</f>
        <v>https://ctis.eu/trial/2024-519711-33-01</v>
      </c>
      <c r="C107" s="3" t="s">
        <v>1737</v>
      </c>
    </row>
    <row r="108" spans="1:3" ht="30" customHeight="1">
      <c r="A108" s="3" t="s">
        <v>1738</v>
      </c>
      <c r="B108" s="24" t="str">
        <f>HYPERLINK("https://cureangelman.es/comienza-el-reclutamiento-de-pacientes-del-fase-iii-de-ionis","https://cureangelman.es/comienza-el-reclutamiento-de-pacientes-del-fase-iii-de-ionis")</f>
        <v>https://cureangelman.es/comienza-el-reclutamiento-de-pacientes-del-fase-iii-de-ionis</v>
      </c>
      <c r="C108" s="3" t="s">
        <v>1739</v>
      </c>
    </row>
    <row r="109" spans="1:3" ht="17.25" customHeight="1">
      <c r="A109" s="3" t="s">
        <v>1740</v>
      </c>
      <c r="B109" s="24" t="str">
        <f>HYPERLINK("https://ichgcp.net/clinical-trials-registry/NCT06415344","https://ichgcp.net/clinical-trials-registry/NCT06415344")</f>
        <v>https://ichgcp.net/clinical-trials-registry/NCT06415344</v>
      </c>
      <c r="C109" s="3" t="s">
        <v>1741</v>
      </c>
    </row>
    <row r="110" spans="1:3" ht="30" customHeight="1">
      <c r="A110" s="3" t="s">
        <v>1742</v>
      </c>
      <c r="B110" s="24" t="str">
        <f>HYPERLINK("https://ichgcp.net/clinical-trials-registry/NCT04259281","https://ichgcp.net/clinical-trials-registry/NCT04259281")</f>
        <v>https://ichgcp.net/clinical-trials-registry/NCT04259281</v>
      </c>
      <c r="C110" s="3" t="s">
        <v>1743</v>
      </c>
    </row>
    <row r="111" spans="1:3" ht="30" customHeight="1">
      <c r="A111" s="3" t="s">
        <v>1744</v>
      </c>
      <c r="B111" s="24" t="str">
        <f>HYPERLINK("https://ichgcp.net/clinical-trials-registry/NCT04428281","https://ichgcp.net/clinical-trials-registry/NCT04428281")</f>
        <v>https://ichgcp.net/clinical-trials-registry/NCT04428281</v>
      </c>
      <c r="C111" s="3" t="s">
        <v>1745</v>
      </c>
    </row>
    <row r="112" spans="1:3" ht="30" customHeight="1">
      <c r="A112" s="3" t="s">
        <v>1746</v>
      </c>
      <c r="B112" s="24" t="str">
        <f>HYPERLINK("https://ichgcp.net/es/clinical-trials-registry/NCT06115109","https://ichgcp.net/es/clinical-trials-registry/NCT06115109")</f>
        <v>https://ichgcp.net/es/clinical-trials-registry/NCT06115109</v>
      </c>
      <c r="C112" s="3" t="s">
        <v>1747</v>
      </c>
    </row>
    <row r="113" spans="1:3" ht="30" customHeight="1">
      <c r="A113" s="3" t="s">
        <v>1748</v>
      </c>
      <c r="B113" s="24" t="str">
        <f>HYPERLINK("https://www.orpha.net/es/research-trials/research-projects/628594","https://www.orpha.net/es/research-trials/research-projects/628594")</f>
        <v>https://www.orpha.net/es/research-trials/research-projects/628594</v>
      </c>
      <c r="C113" s="3" t="s">
        <v>1749</v>
      </c>
    </row>
    <row r="114" spans="1:3" ht="30" customHeight="1">
      <c r="A114" s="3" t="s">
        <v>1750</v>
      </c>
      <c r="B114" s="24" t="str">
        <f>HYPERLINK("https://cureangelman.es/comite-cientifico","https://cureangelman.es/comite-cientifico")</f>
        <v>https://cureangelman.es/comite-cientifico</v>
      </c>
      <c r="C114" s="3" t="s">
        <v>1751</v>
      </c>
    </row>
    <row r="115" spans="1:3" ht="17.25" customHeight="1">
      <c r="A115" s="3" t="s">
        <v>1752</v>
      </c>
      <c r="B115" s="24" t="str">
        <f>HYPERLINK("https://angelman.org/asf-clinics/parc-tauli/","https://angelman.org/asf-clinics/parc-tauli/")</f>
        <v>https://angelman.org/asf-clinics/parc-tauli/</v>
      </c>
      <c r="C115" s="3" t="s">
        <v>1753</v>
      </c>
    </row>
    <row r="116" spans="1:3" ht="17.25" customHeight="1">
      <c r="A116" s="3" t="s">
        <v>1754</v>
      </c>
      <c r="B116" s="24" t="str">
        <f>HYPERLINK("https://es.angelman.org/medical-advisory-council/","https://es.angelman.org/medical-advisory-council/")</f>
        <v>https://es.angelman.org/medical-advisory-council/</v>
      </c>
      <c r="C116" s="3" t="s">
        <v>1755</v>
      </c>
    </row>
    <row r="117" spans="1:3" ht="56.25" customHeight="1">
      <c r="A117" s="3" t="s">
        <v>1756</v>
      </c>
      <c r="B117" s="24" t="str">
        <f>HYPERLINK("https://www.tauli.cat/en/actualitat/noticia/2025/03/el-parc-tauli-primer-centre-assistencial-a-lestat-reconegut-internacionalment-com-a-hospital-expert-en-labordatge-de-la-sindrome-dangelman/","https://www.tauli.cat/en/actualitat/noticia/2025/03/el-parc-tauli-primer-centre-assistencial-a-lestat-reconegut-internacionalment-com-a-hospital-expert-en-labordatge-de-la-sindrome-dangelman/")</f>
        <v>https://www.tauli.cat/en/actualitat/noticia/2025/03/el-parc-tauli-primer-centre-assistencial-a-lestat-reconegut-internacionalment-com-a-hospital-expert-en-labordatge-de-la-sindrome-dangelman/</v>
      </c>
      <c r="C117" s="3" t="s">
        <v>1757</v>
      </c>
    </row>
    <row r="118" spans="1:3" ht="42.75" customHeight="1">
      <c r="A118" s="3" t="s">
        <v>1758</v>
      </c>
      <c r="B118" s="24" t="str">
        <f>HYPERLINK("https://www.tauli.cat/institut/actualitat/noticies/2025/09/el-parc-tauli-avaluara-una-nova-terapia-per-a-la-sindrome-dangelman/","https://www.tauli.cat/institut/actualitat/noticies/2025/09/el-parc-tauli-avaluara-una-nova-terapia-per-a-la-sindrome-dangelman/")</f>
        <v>https://www.tauli.cat/institut/actualitat/noticies/2025/09/el-parc-tauli-avaluara-una-nova-terapia-per-a-la-sindrome-dangelman/</v>
      </c>
      <c r="C118" s="3" t="s">
        <v>1759</v>
      </c>
    </row>
    <row r="119" spans="1:3" ht="42.75" customHeight="1">
      <c r="A119" s="3" t="s">
        <v>1760</v>
      </c>
      <c r="B119" s="24" t="str">
        <f>HYPERLINK("https://www.tauli.cat/en/institut/actualitat/noticies/2023/07/el-parc-tauli-organitza-la-primera-jornada-europea-de-sindrome-dangelman-a-catalunya/","https://www.tauli.cat/en/institut/actualitat/noticies/2023/07/el-parc-tauli-organitza-la-primera-jornada-europea-de-sindrome-dangelman-a-catalunya/")</f>
        <v>https://www.tauli.cat/en/institut/actualitat/noticies/2023/07/el-parc-tauli-organitza-la-primera-jornada-europea-de-sindrome-dangelman-a-catalunya/</v>
      </c>
      <c r="C119" s="3" t="s">
        <v>1761</v>
      </c>
    </row>
    <row r="120" spans="1:3" ht="30" customHeight="1">
      <c r="A120" s="3" t="s">
        <v>1762</v>
      </c>
      <c r="B120" s="24" t="str">
        <f>HYPERLINK("https://dialnet.unirioja.es/servlet/autor?codigo=3719732","https://dialnet.unirioja.es/servlet/autor?codigo=3719732")</f>
        <v>https://dialnet.unirioja.es/servlet/autor?codigo=3719732</v>
      </c>
      <c r="C120" s="3" t="s">
        <v>1763</v>
      </c>
    </row>
    <row r="121" spans="1:3" ht="30" customHeight="1">
      <c r="A121" s="3" t="s">
        <v>1764</v>
      </c>
      <c r="B121" s="24" t="str">
        <f>HYPERLINK("https://www.consalud.es/autonomias/c-madrid/puerta-hierro-da-paso-en-medicina-futuro-abordar-enfermedad-angelman.html","https://www.consalud.es/autonomias/c-madrid/puerta-hierro-da-paso-en-medicina-futuro-abordar-enfermedad-angelman.html")</f>
        <v>https://www.consalud.es/autonomias/c-madrid/puerta-hierro-da-paso-en-medicina-futuro-abordar-enfermedad-angelman.html</v>
      </c>
      <c r="C121" s="3" t="s">
        <v>1765</v>
      </c>
    </row>
    <row r="122" spans="1:3" ht="30" customHeight="1">
      <c r="A122" s="3" t="s">
        <v>1766</v>
      </c>
      <c r="B122" s="24" t="str">
        <f>HYPERLINK("https://www.sanidad.gob.es/areas/csur/redesEuropeas/docs/Centros_SNS_que_participan_en_las_ERN..pdf","https://www.sanidad.gob.es/areas/csur/redesEuropeas/docs/Centros_SNS_que_participan_en_las_ERN..pdf")</f>
        <v>https://www.sanidad.gob.es/areas/csur/redesEuropeas/docs/Centros_SNS_que_participan_en_las_ERN..pdf</v>
      </c>
      <c r="C122" s="3" t="s">
        <v>1767</v>
      </c>
    </row>
    <row r="123" spans="1:3" ht="30" customHeight="1">
      <c r="A123" s="3" t="s">
        <v>1768</v>
      </c>
      <c r="B123" s="24" t="str">
        <f>HYPERLINK("https://www.sjdhospitalbarcelona.org/en/news/sjd-barcelona-childrens-hospital-coordination-ern-epicare","https://www.sjdhospitalbarcelona.org/en/news/sjd-barcelona-childrens-hospital-coordination-ern-epicare")</f>
        <v>https://www.sjdhospitalbarcelona.org/en/news/sjd-barcelona-childrens-hospital-coordination-ern-epicare</v>
      </c>
      <c r="C123" s="3" t="s">
        <v>1769</v>
      </c>
    </row>
    <row r="124" spans="1:3" ht="30" customHeight="1">
      <c r="A124" s="3" t="s">
        <v>1770</v>
      </c>
      <c r="B124" s="24" t="str">
        <f>HYPERLINK("https://www.sjdhospitalbarcelona.org/es/especialistas/maria-carme-fons-estupina","https://www.sjdhospitalbarcelona.org/es/especialistas/maria-carme-fons-estupina")</f>
        <v>https://www.sjdhospitalbarcelona.org/es/especialistas/maria-carme-fons-estupina</v>
      </c>
      <c r="C124" s="3" t="s">
        <v>1771</v>
      </c>
    </row>
    <row r="125" spans="1:3" ht="30" customHeight="1">
      <c r="A125" s="3" t="s">
        <v>1772</v>
      </c>
      <c r="B125" s="24" t="str">
        <f>HYPERLINK("https://www.canalsur.es/noticias/andalucia/huelva/buscan-tratamiento-sindrome-angelman_1_1141518.html","https://www.canalsur.es/noticias/andalucia/huelva/buscan-tratamiento-sindrome-angelman_1_1141518.html")</f>
        <v>https://www.canalsur.es/noticias/andalucia/huelva/buscan-tratamiento-sindrome-angelman_1_1141518.html</v>
      </c>
      <c r="C125" s="3" t="s">
        <v>1773</v>
      </c>
    </row>
    <row r="126" spans="1:3" ht="30" customHeight="1">
      <c r="A126" s="3" t="s">
        <v>1774</v>
      </c>
      <c r="B126" s="24" t="str">
        <f>HYPERLINK("https://elcorreoweb.es/salud/2023/01/04/cataluna-gana-carrera-andalucia-enfermedad-104477177.html","https://elcorreoweb.es/salud/2023/01/04/cataluna-gana-carrera-andalucia-enfermedad-104477177.html")</f>
        <v>https://elcorreoweb.es/salud/2023/01/04/cataluna-gana-carrera-andalucia-enfermedad-104477177.html</v>
      </c>
      <c r="C126" s="3" t="s">
        <v>1775</v>
      </c>
    </row>
    <row r="127" spans="1:3" ht="30" customHeight="1">
      <c r="A127" s="3" t="s">
        <v>1776</v>
      </c>
      <c r="B127" s="24" t="str">
        <f>HYPERLINK("https://hospitaluvrocio.es/historico-noticias/beatriz-munoz-cabello-nueva-jefa-de-seccion-facultativa-de-neuropediatria/","https://hospitaluvrocio.es/historico-noticias/beatriz-munoz-cabello-nueva-jefa-de-seccion-facultativa-de-neuropediatria/")</f>
        <v>https://hospitaluvrocio.es/historico-noticias/beatriz-munoz-cabello-nueva-jefa-de-seccion-facultativa-de-neuropediatria/</v>
      </c>
      <c r="C127" s="3" t="s">
        <v>1777</v>
      </c>
    </row>
    <row r="128" spans="1:3" ht="30" customHeight="1">
      <c r="A128" s="3" t="s">
        <v>1778</v>
      </c>
      <c r="B128" s="24" t="str">
        <f>HYPERLINK("https://www.unavarra.es/pdi/?uid=812830&amp;dato=descripcion&amp;languageId=100000","https://www.unavarra.es/pdi/?uid=812830&amp;dato=descripcion&amp;languageId=100000")</f>
        <v>https://www.unavarra.es/pdi/?uid=812830&amp;dato=descripcion&amp;languageId=100000</v>
      </c>
      <c r="C128" s="3" t="s">
        <v>1779</v>
      </c>
    </row>
    <row r="129" spans="1:3" ht="17.25" customHeight="1">
      <c r="A129" s="3" t="s">
        <v>1780</v>
      </c>
      <c r="B129" s="24" t="str">
        <f>HYPERLINK("https://www.ehu.eus/en/web/umayor/argitalpenak","https://www.ehu.eus/en/web/umayor/argitalpenak")</f>
        <v>https://www.ehu.eus/en/web/umayor/argitalpenak</v>
      </c>
      <c r="C129" s="3" t="s">
        <v>1781</v>
      </c>
    </row>
    <row r="130" spans="1:3" ht="30" customHeight="1">
      <c r="A130" s="3" t="s">
        <v>1660</v>
      </c>
      <c r="B130" s="24" t="str">
        <f>HYPERLINK("https://europepmc.org/article/MED/35150089","https://europepmc.org/article/MED/35150089")</f>
        <v>https://europepmc.org/article/MED/35150089</v>
      </c>
      <c r="C130" s="3" t="s">
        <v>1782</v>
      </c>
    </row>
    <row r="131" spans="1:3" ht="30" customHeight="1">
      <c r="A131" s="3" t="s">
        <v>1783</v>
      </c>
      <c r="B131" s="24" t="str">
        <f>HYPERLINK("https://cureangelman.es/resultados-fase-3-gtx-102-sindrome-angelman","https://cureangelman.es/resultados-fase-3-gtx-102-sindrome-angelman")</f>
        <v>https://cureangelman.es/resultados-fase-3-gtx-102-sindrome-angelman</v>
      </c>
      <c r="C131" s="3" t="s">
        <v>1784</v>
      </c>
    </row>
    <row r="132" spans="1:3" ht="30" customHeight="1">
      <c r="A132" s="3" t="s">
        <v>1785</v>
      </c>
      <c r="B132" s="24" t="str">
        <f>HYPERLINK("https://angelman-asa.org/asociacion-sindrome-de-angelman-asa/","https://angelman-asa.org/asociacion-sindrome-de-angelman-asa/")</f>
        <v>https://angelman-asa.org/asociacion-sindrome-de-angelman-asa/</v>
      </c>
      <c r="C132" s="3" t="s">
        <v>1786</v>
      </c>
    </row>
    <row r="133" spans="1:3" ht="17.25" customHeight="1">
      <c r="A133" s="3" t="s">
        <v>1787</v>
      </c>
      <c r="B133" s="24" t="str">
        <f>HYPERLINK("https://cureangelman.es/","https://cureangelman.es/")</f>
        <v>https://cureangelman.es/</v>
      </c>
      <c r="C133" s="3" t="s">
        <v>1788</v>
      </c>
    </row>
    <row r="134" spans="1:3" ht="30" customHeight="1">
      <c r="A134" s="3" t="s">
        <v>1789</v>
      </c>
      <c r="B134" s="24" t="str">
        <f>HYPERLINK("https://www.hra.nhs.uk/planning-and-improving-research/application-summaries/research-summaries/ion582-cs2-reveal/","https://www.hra.nhs.uk/planning-and-improving-research/application-summaries/research-summaries/ion582-cs2-reveal/")</f>
        <v>https://www.hra.nhs.uk/planning-and-improving-research/application-summaries/research-summaries/ion582-cs2-reveal/</v>
      </c>
      <c r="C134" s="3" t="s">
        <v>1790</v>
      </c>
    </row>
    <row r="135" spans="1:3" ht="42.75" customHeight="1">
      <c r="A135" s="3" t="s">
        <v>1791</v>
      </c>
      <c r="B135" s="24" t="str">
        <f>HYPERLINK("https://www.hra.nhs.uk/planning-and-improving-research/application-summaries/research-summaries/phase-12-study-of-ion582-in-patients-with-angelman-syndrome/","https://www.hra.nhs.uk/planning-and-improving-research/application-summaries/research-summaries/phase-12-study-of-ion582-in-patients-with-angelman-syndrome/")</f>
        <v>https://www.hra.nhs.uk/planning-and-improving-research/application-summaries/research-summaries/phase-12-study-of-ion582-in-patients-with-angelman-syndrome/</v>
      </c>
      <c r="C135" s="3" t="s">
        <v>1792</v>
      </c>
    </row>
    <row r="136" spans="1:3" ht="42.75" customHeight="1">
      <c r="A136" s="3" t="s">
        <v>1793</v>
      </c>
      <c r="B136" s="24" t="str">
        <f>HYPERLINK("https://www.hra.nhs.uk/planning-and-improving-research/application-summaries/research-summaries/a-phase-12-study-of-gtx-102-in-paediatric-patients-with-as/","https://www.hra.nhs.uk/planning-and-improving-research/application-summaries/research-summaries/a-phase-12-study-of-gtx-102-in-paediatric-patients-with-as/")</f>
        <v>https://www.hra.nhs.uk/planning-and-improving-research/application-summaries/research-summaries/a-phase-12-study-of-gtx-102-in-paediatric-patients-with-as/</v>
      </c>
      <c r="C136" s="3" t="s">
        <v>1794</v>
      </c>
    </row>
    <row r="137" spans="1:3" ht="42.75" customHeight="1">
      <c r="A137" s="3" t="s">
        <v>1795</v>
      </c>
      <c r="B137" s="24" t="str">
        <f>HYPERLINK("https://www.hra.nhs.uk/planning-and-improving-research/application-summaries/research-summaries/phase-2-study-of-gtx-102-in-subjects-with-deletion-or-nondeletion-type-angelman-syndrome/","https://www.hra.nhs.uk/planning-and-improving-research/application-summaries/research-summaries/phase-2-study-of-gtx-102-in-subjects-with-deletion-or-nondeletion-type-angelman-syndrome/")</f>
        <v>https://www.hra.nhs.uk/planning-and-improving-research/application-summaries/research-summaries/phase-2-study-of-gtx-102-in-subjects-with-deletion-or-nondeletion-type-angelman-syndrome/</v>
      </c>
      <c r="C137" s="3" t="s">
        <v>1796</v>
      </c>
    </row>
    <row r="138" spans="1:3" ht="30" customHeight="1">
      <c r="A138" s="3" t="s">
        <v>1797</v>
      </c>
      <c r="B138" s="24" t="str">
        <f>HYPERLINK("https://cureangelman.org.uk/our-work/oxford-natural-history-study/","https://cureangelman.org.uk/our-work/oxford-natural-history-study/")</f>
        <v>https://cureangelman.org.uk/our-work/oxford-natural-history-study/</v>
      </c>
      <c r="C138" s="3" t="s">
        <v>1798</v>
      </c>
    </row>
    <row r="139" spans="1:3" ht="17.25" customHeight="1">
      <c r="A139" s="3" t="s">
        <v>1799</v>
      </c>
      <c r="B139" s="24" t="str">
        <f>HYPERLINK("https://strong.paediatrics.ox.ac.uk/our-team/laurent-servais","https://strong.paediatrics.ox.ac.uk/our-team/laurent-servais")</f>
        <v>https://strong.paediatrics.ox.ac.uk/our-team/laurent-servais</v>
      </c>
      <c r="C139" s="3" t="s">
        <v>1800</v>
      </c>
    </row>
    <row r="140" spans="1:3" ht="30" customHeight="1">
      <c r="A140" s="3" t="s">
        <v>1801</v>
      </c>
      <c r="B140" s="24" t="str">
        <f>HYPERLINK("https://www.mrcc.org.uk/clinical-diagnostics/other-specialist-clinical-services/angelman-syndrome-clinic/","https://www.mrcc.org.uk/clinical-diagnostics/other-specialist-clinical-services/angelman-syndrome-clinic/")</f>
        <v>https://www.mrcc.org.uk/clinical-diagnostics/other-specialist-clinical-services/angelman-syndrome-clinic/</v>
      </c>
      <c r="C140" s="3" t="s">
        <v>1802</v>
      </c>
    </row>
    <row r="141" spans="1:3" ht="30" customHeight="1">
      <c r="A141" s="3" t="s">
        <v>1803</v>
      </c>
      <c r="B141" s="24" t="str">
        <f>HYPERLINK("https://www.angelmanuk.org/support/clinic/","https://www.angelmanuk.org/support/clinic/")</f>
        <v>https://www.angelmanuk.org/support/clinic/</v>
      </c>
      <c r="C141" s="23" t="s">
        <v>1804</v>
      </c>
    </row>
    <row r="142" spans="1:3" ht="30" customHeight="1">
      <c r="A142" s="3" t="s">
        <v>1805</v>
      </c>
      <c r="B142" s="24" t="str">
        <f>HYPERLINK("https://www.mangen.co.uk/healthcare-professionals/clinical-genomic-services/developmental-disorders/","https://www.mangen.co.uk/healthcare-professionals/clinical-genomic-services/developmental-disorders/")</f>
        <v>https://www.mangen.co.uk/healthcare-professionals/clinical-genomic-services/developmental-disorders/</v>
      </c>
      <c r="C142" s="3" t="s">
        <v>1806</v>
      </c>
    </row>
    <row r="143" spans="1:3" ht="30" customHeight="1">
      <c r="A143" s="3" t="s">
        <v>1807</v>
      </c>
      <c r="B143" s="24" t="str">
        <f>HYPERLINK("https://difusion.ulb.ac.be/vufind/Record/ULB-DIPOT:oai:dipot.ulb.ac.be:2013/185831/Details","https://difusion.ulb.ac.be/vufind/Record/ULB-DIPOT:oai:dipot.ulb.ac.be:2013/185831/Details")</f>
        <v>https://difusion.ulb.ac.be/vufind/Record/ULB-DIPOT:oai:dipot.ulb.ac.be:2013/185831/Details</v>
      </c>
      <c r="C143" s="3" t="s">
        <v>1808</v>
      </c>
    </row>
    <row r="144" spans="1:3" ht="30" customHeight="1">
      <c r="A144" s="3" t="s">
        <v>1809</v>
      </c>
      <c r="B144" s="24" t="str">
        <f>HYPERLINK("https://citycollegelibrary.org/wp-content/uploads/2025/12/263_Angelman_Guidelines.pdf","https://citycollegelibrary.org/wp-content/uploads/2025/12/263_Angelman_Guidelines.pdf")</f>
        <v>https://citycollegelibrary.org/wp-content/uploads/2025/12/263_Angelman_Guidelines.pdf</v>
      </c>
      <c r="C144" s="3" t="s">
        <v>1810</v>
      </c>
    </row>
    <row r="145" spans="1:7" ht="30" customHeight="1">
      <c r="A145" s="3" t="s">
        <v>1811</v>
      </c>
      <c r="B145" s="24" t="str">
        <f>HYPERLINK("https://www.angelman.org/wp-content/uploads/2025/01/standards-of-care-for-angelman-syndrome.pdf","https://www.angelman.org/wp-content/uploads/2025/01/standards-of-care-for-angelman-syndrome.pdf")</f>
        <v>https://www.angelman.org/wp-content/uploads/2025/01/standards-of-care-for-angelman-syndrome.pdf</v>
      </c>
      <c r="C145" s="3" t="s">
        <v>1812</v>
      </c>
    </row>
    <row r="146" spans="1:7" ht="30" customHeight="1">
      <c r="A146" s="3" t="s">
        <v>1813</v>
      </c>
      <c r="B146" s="24" t="str">
        <f>HYPERLINK("https://pmc.ncbi.nlm.nih.gov/articles/PMC7921159/","https://pmc.ncbi.nlm.nih.gov/articles/PMC7921159/")</f>
        <v>https://pmc.ncbi.nlm.nih.gov/articles/PMC7921159/</v>
      </c>
      <c r="C146" s="3" t="s">
        <v>1814</v>
      </c>
    </row>
    <row r="147" spans="1:7" ht="30" customHeight="1">
      <c r="A147" s="3" t="s">
        <v>1815</v>
      </c>
      <c r="B147" s="24" t="str">
        <f>HYPERLINK("https://doaj.org/article/6fdb3ab1e55c4c2f9932c00ad98c1c89","https://doaj.org/article/6fdb3ab1e55c4c2f9932c00ad98c1c89")</f>
        <v>https://doaj.org/article/6fdb3ab1e55c4c2f9932c00ad98c1c89</v>
      </c>
      <c r="C147" s="3" t="s">
        <v>1816</v>
      </c>
    </row>
    <row r="148" spans="1:7" ht="17.25" customHeight="1">
      <c r="A148" s="3" t="s">
        <v>1817</v>
      </c>
      <c r="B148" s="24" t="str">
        <f>HYPERLINK("https://jmg.bmj.com/content/40/2/87","https://jmg.bmj.com/content/40/2/87")</f>
        <v>https://jmg.bmj.com/content/40/2/87</v>
      </c>
      <c r="C148" s="3" t="s">
        <v>1818</v>
      </c>
    </row>
    <row r="149" spans="1:7" ht="30" customHeight="1">
      <c r="A149" s="3" t="s">
        <v>1819</v>
      </c>
      <c r="B149" s="24" t="str">
        <f>HYPERLINK("https://cureangelman.org/articles/fast-asa-europe-angelman-trials-webinar","https://cureangelman.org/articles/fast-asa-europe-angelman-trials-webinar")</f>
        <v>https://cureangelman.org/articles/fast-asa-europe-angelman-trials-webinar</v>
      </c>
      <c r="C149" s="3" t="s">
        <v>1820</v>
      </c>
    </row>
    <row r="150" spans="1:7" ht="30" customHeight="1">
      <c r="A150" s="3" t="s">
        <v>1821</v>
      </c>
      <c r="B150" s="24" t="str">
        <f>HYPERLINK("https://www.gosh.nhs.uk/our-research/nihr-gosh-clinical-research-facility/","https://www.gosh.nhs.uk/our-research/nihr-gosh-clinical-research-facility/")</f>
        <v>https://www.gosh.nhs.uk/our-research/nihr-gosh-clinical-research-facility/</v>
      </c>
      <c r="C150" s="3" t="s">
        <v>1822</v>
      </c>
    </row>
    <row r="151" spans="1:7" ht="42.75" customHeight="1">
      <c r="A151" s="3" t="s">
        <v>1823</v>
      </c>
      <c r="B151" s="24" t="str">
        <f>HYPERLINK("https://adc.bmj.com/content/110/11/899","https://adc.bmj.com/content/110/11/899")</f>
        <v>https://adc.bmj.com/content/110/11/899</v>
      </c>
      <c r="C151" s="3" t="s">
        <v>1824</v>
      </c>
    </row>
    <row r="152" spans="1:7" ht="30" customHeight="1">
      <c r="A152" s="3" t="s">
        <v>1825</v>
      </c>
      <c r="B152" s="24" t="str">
        <f>HYPERLINK("https://pure.ulster.ac.uk/ws/portalfiles/portal/221906804/Prader-Willi_Angelman_syndrome_-_accepted_version.pdf","https://pure.ulster.ac.uk/ws/portalfiles/portal/221906804/Prader-Willi_Angelman_syndrome_-_accepted_version.pdf")</f>
        <v>https://pure.ulster.ac.uk/ws/portalfiles/portal/221906804/Prader-Willi_Angelman_syndrome_-_accepted_version.pdf</v>
      </c>
      <c r="C152" s="3" t="s">
        <v>1826</v>
      </c>
    </row>
    <row r="154" spans="1:7" ht="30" customHeight="1">
      <c r="A154" s="10" t="s">
        <v>1827</v>
      </c>
      <c r="B154" s="10"/>
      <c r="C154" s="10"/>
      <c r="D154" s="10"/>
      <c r="E154" s="10"/>
      <c r="F154" s="10"/>
      <c r="G154" s="10"/>
    </row>
    <row r="155" spans="1:7" ht="19.5" customHeight="1">
      <c r="A155" s="2" t="s">
        <v>1828</v>
      </c>
      <c r="B155" s="11" t="s">
        <v>1829</v>
      </c>
      <c r="C155" s="11"/>
      <c r="D155" s="11"/>
      <c r="E155" s="11"/>
      <c r="F155" s="11"/>
      <c r="G155" s="11"/>
    </row>
    <row r="156" spans="1:7" ht="30" customHeight="1">
      <c r="A156" s="4" t="s">
        <v>1830</v>
      </c>
      <c r="B156" s="14" t="s">
        <v>1831</v>
      </c>
      <c r="C156" s="14"/>
      <c r="D156" s="14"/>
      <c r="E156" s="14"/>
      <c r="F156" s="14"/>
      <c r="G156" s="14"/>
    </row>
    <row r="157" spans="1:7" ht="30" customHeight="1">
      <c r="A157" s="4" t="s">
        <v>1830</v>
      </c>
      <c r="B157" s="14" t="s">
        <v>1832</v>
      </c>
      <c r="C157" s="14"/>
      <c r="D157" s="14"/>
      <c r="E157" s="14"/>
      <c r="F157" s="14"/>
      <c r="G157" s="14"/>
    </row>
    <row r="158" spans="1:7" ht="17.25" customHeight="1">
      <c r="A158" s="4" t="s">
        <v>1830</v>
      </c>
      <c r="B158" s="14" t="s">
        <v>1833</v>
      </c>
      <c r="C158" s="14"/>
      <c r="D158" s="14"/>
      <c r="E158" s="14"/>
      <c r="F158" s="14"/>
      <c r="G158" s="14"/>
    </row>
    <row r="159" spans="1:7" ht="17.25" customHeight="1">
      <c r="A159" s="4" t="s">
        <v>1830</v>
      </c>
      <c r="B159" s="14" t="s">
        <v>1834</v>
      </c>
      <c r="C159" s="14"/>
      <c r="D159" s="14"/>
      <c r="E159" s="14"/>
      <c r="F159" s="14"/>
      <c r="G159" s="14"/>
    </row>
    <row r="160" spans="1:7" ht="17.25" customHeight="1">
      <c r="A160" s="4" t="s">
        <v>1830</v>
      </c>
      <c r="B160" s="14" t="s">
        <v>1835</v>
      </c>
      <c r="C160" s="14"/>
      <c r="D160" s="14"/>
      <c r="E160" s="14"/>
      <c r="F160" s="14"/>
      <c r="G160" s="14"/>
    </row>
    <row r="161" spans="1:7" ht="30" customHeight="1">
      <c r="A161" s="4" t="s">
        <v>1830</v>
      </c>
      <c r="B161" s="14" t="s">
        <v>1836</v>
      </c>
      <c r="C161" s="14"/>
      <c r="D161" s="14"/>
      <c r="E161" s="14"/>
      <c r="F161" s="14"/>
      <c r="G161" s="14"/>
    </row>
    <row r="162" spans="1:7" ht="30" customHeight="1">
      <c r="A162" s="4" t="s">
        <v>1830</v>
      </c>
      <c r="B162" s="14" t="s">
        <v>1837</v>
      </c>
      <c r="C162" s="14"/>
      <c r="D162" s="14"/>
      <c r="E162" s="14"/>
      <c r="F162" s="14"/>
      <c r="G162" s="14"/>
    </row>
    <row r="163" spans="1:7" ht="17.25" customHeight="1">
      <c r="A163" s="4" t="s">
        <v>303</v>
      </c>
      <c r="B163" s="14" t="s">
        <v>1838</v>
      </c>
      <c r="C163" s="14"/>
      <c r="D163" s="14"/>
      <c r="E163" s="14"/>
      <c r="F163" s="14"/>
      <c r="G163" s="14"/>
    </row>
    <row r="164" spans="1:7" ht="17.25" customHeight="1">
      <c r="A164" s="4" t="s">
        <v>303</v>
      </c>
      <c r="B164" s="14" t="s">
        <v>1839</v>
      </c>
      <c r="C164" s="14"/>
      <c r="D164" s="14"/>
      <c r="E164" s="14"/>
      <c r="F164" s="14"/>
      <c r="G164" s="14"/>
    </row>
    <row r="165" spans="1:7" ht="17.25" customHeight="1">
      <c r="A165" s="4" t="s">
        <v>303</v>
      </c>
      <c r="B165" s="14" t="s">
        <v>1840</v>
      </c>
      <c r="C165" s="14"/>
      <c r="D165" s="14"/>
      <c r="E165" s="14"/>
      <c r="F165" s="14"/>
      <c r="G165" s="14"/>
    </row>
    <row r="166" spans="1:7" ht="17.25" customHeight="1">
      <c r="A166" s="4" t="s">
        <v>303</v>
      </c>
      <c r="B166" s="14" t="s">
        <v>1841</v>
      </c>
      <c r="C166" s="14"/>
      <c r="D166" s="14"/>
      <c r="E166" s="14"/>
      <c r="F166" s="14"/>
      <c r="G166" s="14"/>
    </row>
    <row r="167" spans="1:7" ht="17.25" customHeight="1">
      <c r="A167" s="4" t="s">
        <v>303</v>
      </c>
      <c r="B167" s="14" t="s">
        <v>1842</v>
      </c>
      <c r="C167" s="14"/>
      <c r="D167" s="14"/>
      <c r="E167" s="14"/>
      <c r="F167" s="14"/>
      <c r="G167" s="14"/>
    </row>
    <row r="168" spans="1:7" ht="17.25" customHeight="1">
      <c r="A168" s="4" t="s">
        <v>303</v>
      </c>
      <c r="B168" s="14" t="s">
        <v>1843</v>
      </c>
      <c r="C168" s="14"/>
      <c r="D168" s="14"/>
      <c r="E168" s="14"/>
      <c r="F168" s="14"/>
      <c r="G168" s="14"/>
    </row>
    <row r="169" spans="1:7" ht="30" customHeight="1">
      <c r="A169" s="4" t="s">
        <v>183</v>
      </c>
      <c r="B169" s="14" t="s">
        <v>1844</v>
      </c>
      <c r="C169" s="14"/>
      <c r="D169" s="14"/>
      <c r="E169" s="14"/>
      <c r="F169" s="14"/>
      <c r="G169" s="14"/>
    </row>
    <row r="170" spans="1:7" ht="17.25" customHeight="1">
      <c r="A170" s="4" t="s">
        <v>183</v>
      </c>
      <c r="B170" s="14" t="s">
        <v>1845</v>
      </c>
      <c r="C170" s="14"/>
      <c r="D170" s="14"/>
      <c r="E170" s="14"/>
      <c r="F170" s="14"/>
      <c r="G170" s="14"/>
    </row>
    <row r="171" spans="1:7" ht="17.25" customHeight="1">
      <c r="A171" s="4" t="s">
        <v>183</v>
      </c>
      <c r="B171" s="14" t="s">
        <v>1846</v>
      </c>
      <c r="C171" s="14"/>
      <c r="D171" s="14"/>
      <c r="E171" s="14"/>
      <c r="F171" s="14"/>
      <c r="G171" s="14"/>
    </row>
    <row r="172" spans="1:7" ht="17.25" customHeight="1">
      <c r="A172" s="4" t="s">
        <v>183</v>
      </c>
      <c r="B172" s="14" t="s">
        <v>1847</v>
      </c>
      <c r="C172" s="14"/>
      <c r="D172" s="14"/>
      <c r="E172" s="14"/>
      <c r="F172" s="14"/>
      <c r="G172" s="14"/>
    </row>
    <row r="173" spans="1:7" ht="17.25" customHeight="1">
      <c r="A173" s="4" t="s">
        <v>433</v>
      </c>
      <c r="B173" s="14" t="s">
        <v>1848</v>
      </c>
      <c r="C173" s="14"/>
      <c r="D173" s="14"/>
      <c r="E173" s="14"/>
      <c r="F173" s="14"/>
      <c r="G173" s="14"/>
    </row>
    <row r="174" spans="1:7" ht="17.25" customHeight="1">
      <c r="A174" s="4" t="s">
        <v>433</v>
      </c>
      <c r="B174" s="14" t="s">
        <v>1849</v>
      </c>
      <c r="C174" s="14"/>
      <c r="D174" s="14"/>
      <c r="E174" s="14"/>
      <c r="F174" s="14"/>
      <c r="G174" s="14"/>
    </row>
    <row r="175" spans="1:7" ht="30" customHeight="1">
      <c r="A175" s="4" t="s">
        <v>433</v>
      </c>
      <c r="B175" s="14" t="s">
        <v>1850</v>
      </c>
      <c r="C175" s="14"/>
      <c r="D175" s="14"/>
      <c r="E175" s="14"/>
      <c r="F175" s="14"/>
      <c r="G175" s="14"/>
    </row>
    <row r="176" spans="1:7" ht="17.25" customHeight="1">
      <c r="A176" s="4" t="s">
        <v>433</v>
      </c>
      <c r="B176" s="14" t="s">
        <v>1851</v>
      </c>
      <c r="C176" s="14"/>
      <c r="D176" s="14"/>
      <c r="E176" s="14"/>
      <c r="F176" s="14"/>
      <c r="G176" s="14"/>
    </row>
    <row r="177" spans="1:7" ht="17.25" customHeight="1">
      <c r="A177" s="4" t="s">
        <v>433</v>
      </c>
      <c r="B177" s="14" t="s">
        <v>1852</v>
      </c>
      <c r="C177" s="14"/>
      <c r="D177" s="14"/>
      <c r="E177" s="14"/>
      <c r="F177" s="14"/>
      <c r="G177" s="14"/>
    </row>
    <row r="178" spans="1:7" ht="30" customHeight="1">
      <c r="A178" s="4" t="s">
        <v>591</v>
      </c>
      <c r="B178" s="14" t="s">
        <v>1853</v>
      </c>
      <c r="C178" s="14"/>
      <c r="D178" s="14"/>
      <c r="E178" s="14"/>
      <c r="F178" s="14"/>
      <c r="G178" s="14"/>
    </row>
    <row r="179" spans="1:7" ht="30" customHeight="1">
      <c r="A179" s="4" t="s">
        <v>591</v>
      </c>
      <c r="B179" s="14" t="s">
        <v>1854</v>
      </c>
      <c r="C179" s="14"/>
      <c r="D179" s="14"/>
      <c r="E179" s="14"/>
      <c r="F179" s="14"/>
      <c r="G179" s="14"/>
    </row>
    <row r="180" spans="1:7" ht="30" customHeight="1">
      <c r="A180" s="4" t="s">
        <v>591</v>
      </c>
      <c r="B180" s="14" t="s">
        <v>1855</v>
      </c>
      <c r="C180" s="14"/>
      <c r="D180" s="14"/>
      <c r="E180" s="14"/>
      <c r="F180" s="14"/>
      <c r="G180" s="14"/>
    </row>
    <row r="181" spans="1:7" ht="17.25" customHeight="1">
      <c r="A181" s="4" t="s">
        <v>591</v>
      </c>
      <c r="B181" s="14" t="s">
        <v>1856</v>
      </c>
      <c r="C181" s="14"/>
      <c r="D181" s="14"/>
      <c r="E181" s="14"/>
      <c r="F181" s="14"/>
      <c r="G181" s="14"/>
    </row>
    <row r="182" spans="1:7" ht="17.25" customHeight="1">
      <c r="A182" s="4" t="s">
        <v>698</v>
      </c>
      <c r="B182" s="14" t="s">
        <v>1857</v>
      </c>
      <c r="C182" s="14"/>
      <c r="D182" s="14"/>
      <c r="E182" s="14"/>
      <c r="F182" s="14"/>
      <c r="G182" s="14"/>
    </row>
    <row r="183" spans="1:7" ht="17.25" customHeight="1">
      <c r="A183" s="4" t="s">
        <v>698</v>
      </c>
      <c r="B183" s="14" t="s">
        <v>1858</v>
      </c>
      <c r="C183" s="14"/>
      <c r="D183" s="14"/>
      <c r="E183" s="14"/>
      <c r="F183" s="14"/>
      <c r="G183" s="14"/>
    </row>
    <row r="184" spans="1:7" ht="17.25" customHeight="1">
      <c r="A184" s="4" t="s">
        <v>698</v>
      </c>
      <c r="B184" s="14" t="s">
        <v>1859</v>
      </c>
      <c r="C184" s="14"/>
      <c r="D184" s="14"/>
      <c r="E184" s="14"/>
      <c r="F184" s="14"/>
      <c r="G184" s="14"/>
    </row>
    <row r="185" spans="1:7" ht="17.25" customHeight="1">
      <c r="A185" s="4" t="s">
        <v>698</v>
      </c>
      <c r="B185" s="14" t="s">
        <v>1860</v>
      </c>
      <c r="C185" s="14"/>
      <c r="D185" s="14"/>
      <c r="E185" s="14"/>
      <c r="F185" s="14"/>
      <c r="G185" s="14"/>
    </row>
    <row r="186" spans="1:7" ht="17.25" customHeight="1">
      <c r="A186" s="4" t="s">
        <v>698</v>
      </c>
      <c r="B186" s="14" t="s">
        <v>1861</v>
      </c>
      <c r="C186" s="14"/>
      <c r="D186" s="14"/>
      <c r="E186" s="14"/>
      <c r="F186" s="14"/>
      <c r="G186" s="14"/>
    </row>
    <row r="187" spans="1:7" ht="17.25" customHeight="1">
      <c r="A187" s="4" t="s">
        <v>698</v>
      </c>
      <c r="B187" s="14" t="s">
        <v>1862</v>
      </c>
      <c r="C187" s="14"/>
      <c r="D187" s="14"/>
      <c r="E187" s="14"/>
      <c r="F187" s="14"/>
      <c r="G187" s="14"/>
    </row>
    <row r="188" spans="1:7" ht="17.25" customHeight="1">
      <c r="A188" s="4" t="s">
        <v>698</v>
      </c>
      <c r="B188" s="14" t="s">
        <v>1863</v>
      </c>
      <c r="C188" s="14"/>
      <c r="D188" s="14"/>
      <c r="E188" s="14"/>
      <c r="F188" s="14"/>
      <c r="G188" s="14"/>
    </row>
    <row r="190" spans="1:7" ht="24" customHeight="1">
      <c r="A190" s="10" t="s">
        <v>1864</v>
      </c>
      <c r="B190" s="10"/>
      <c r="C190" s="10"/>
      <c r="D190" s="10"/>
      <c r="E190" s="10"/>
      <c r="F190" s="10"/>
      <c r="G190" s="10"/>
    </row>
    <row r="191" spans="1:7" ht="19.5" customHeight="1">
      <c r="A191" s="2" t="s">
        <v>1865</v>
      </c>
      <c r="B191" s="2" t="s">
        <v>1866</v>
      </c>
      <c r="C191" s="2" t="s">
        <v>1867</v>
      </c>
      <c r="D191" s="2" t="s">
        <v>1868</v>
      </c>
      <c r="E191" s="2" t="s">
        <v>1869</v>
      </c>
      <c r="F191" s="2" t="s">
        <v>1870</v>
      </c>
      <c r="G191" s="2" t="s">
        <v>1871</v>
      </c>
    </row>
    <row r="192" spans="1:7" ht="69" customHeight="1">
      <c r="A192" s="4" t="s">
        <v>1872</v>
      </c>
      <c r="B192" s="3" t="s">
        <v>1873</v>
      </c>
      <c r="C192" s="3" t="s">
        <v>1874</v>
      </c>
      <c r="D192" s="3" t="s">
        <v>1875</v>
      </c>
      <c r="E192" s="3" t="s">
        <v>1876</v>
      </c>
      <c r="F192" s="3" t="s">
        <v>1877</v>
      </c>
      <c r="G192" s="24" t="str">
        <f>HYPERLINK("https://ir.ultragenyx.com/news-releases/news-release-details/ultragenyx-announces-phase-3-aspire-results-angelman-syndrome","https://ir.ultragenyx.com/news-releases/news-release-details/ultragenyx-announces-phase-3-aspire-results-angelman-syndrome")</f>
        <v>https://ir.ultragenyx.com/news-releases/news-release-details/ultragenyx-announces-phase-3-aspire-results-angelman-syndrome</v>
      </c>
    </row>
    <row r="193" spans="1:7" ht="42.75" customHeight="1">
      <c r="A193" s="4" t="s">
        <v>1878</v>
      </c>
      <c r="B193" s="3" t="s">
        <v>1879</v>
      </c>
      <c r="C193" s="3" t="s">
        <v>1880</v>
      </c>
      <c r="D193" s="3" t="s">
        <v>1881</v>
      </c>
      <c r="E193" s="3" t="s">
        <v>1882</v>
      </c>
      <c r="F193" s="3" t="s">
        <v>1883</v>
      </c>
      <c r="G193" s="24" t="str">
        <f>HYPERLINK("https://clinicaltrials.gov/study/NCT04259281","https://clinicaltrials.gov/study/NCT04259281")</f>
        <v>https://clinicaltrials.gov/study/NCT04259281</v>
      </c>
    </row>
    <row r="194" spans="1:7" ht="42.75" customHeight="1">
      <c r="A194" s="4" t="s">
        <v>1884</v>
      </c>
      <c r="B194" s="3" t="s">
        <v>1873</v>
      </c>
      <c r="C194" s="3" t="s">
        <v>1885</v>
      </c>
      <c r="D194" s="3" t="s">
        <v>1886</v>
      </c>
      <c r="E194" s="3" t="s">
        <v>1887</v>
      </c>
      <c r="F194" s="3" t="s">
        <v>1888</v>
      </c>
      <c r="G194" s="24" t="str">
        <f>HYPERLINK("https://angelmansyndromenews.com/news/dosing-begins-broader-trial-angelman-syndrome-therapy/","https://angelmansyndromenews.com/news/dosing-begins-broader-trial-angelman-syndrome-therapy/")</f>
        <v>https://angelmansyndromenews.com/news/dosing-begins-broader-trial-angelman-syndrome-therapy/</v>
      </c>
    </row>
    <row r="195" spans="1:7" ht="42.75" customHeight="1">
      <c r="A195" s="4" t="s">
        <v>1889</v>
      </c>
      <c r="B195" s="7" t="s">
        <v>1890</v>
      </c>
      <c r="C195" s="7" t="s">
        <v>1891</v>
      </c>
      <c r="D195" s="3" t="s">
        <v>1892</v>
      </c>
      <c r="E195" s="7" t="s">
        <v>1893</v>
      </c>
      <c r="F195" s="3" t="s">
        <v>1894</v>
      </c>
      <c r="G195" s="24" t="str">
        <f>HYPERLINK("https://www.nature.com/articles/s41591-025-03784-7","https://www.nature.com/articles/s41591-025-03784-7")</f>
        <v>https://www.nature.com/articles/s41591-025-03784-7</v>
      </c>
    </row>
    <row r="196" spans="1:7" ht="30" customHeight="1">
      <c r="A196" s="4" t="s">
        <v>1895</v>
      </c>
      <c r="B196" s="3" t="s">
        <v>1896</v>
      </c>
      <c r="C196" s="3" t="s">
        <v>1897</v>
      </c>
      <c r="D196" s="3" t="s">
        <v>1898</v>
      </c>
      <c r="E196" s="3" t="s">
        <v>1899</v>
      </c>
      <c r="F196" s="3" t="s">
        <v>1900</v>
      </c>
      <c r="G196" s="24" t="str">
        <f>HYPERLINK("https://pubmed.ncbi.nlm.nih.gov/37639777/","https://pubmed.ncbi.nlm.nih.gov/37639777/")</f>
        <v>https://pubmed.ncbi.nlm.nih.gov/37639777/</v>
      </c>
    </row>
    <row r="197" spans="1:7" ht="30" customHeight="1">
      <c r="A197" s="4" t="s">
        <v>1901</v>
      </c>
      <c r="B197" s="3" t="s">
        <v>1902</v>
      </c>
      <c r="C197" s="3" t="s">
        <v>1903</v>
      </c>
      <c r="D197" s="3" t="s">
        <v>1904</v>
      </c>
      <c r="E197" s="3" t="s">
        <v>1905</v>
      </c>
      <c r="F197" s="3" t="s">
        <v>1906</v>
      </c>
      <c r="G197" s="24" t="str">
        <f>HYPERLINK("https://neurenpharma.com/angelman-syndrome","https://neurenpharma.com/angelman-syndrome")</f>
        <v>https://neurenpharma.com/angelman-syndrome</v>
      </c>
    </row>
    <row r="198" spans="1:7" ht="56.25" customHeight="1">
      <c r="A198" s="4" t="s">
        <v>1907</v>
      </c>
      <c r="B198" s="3" t="s">
        <v>1908</v>
      </c>
      <c r="C198" s="3" t="s">
        <v>1909</v>
      </c>
      <c r="D198" s="3" t="s">
        <v>1910</v>
      </c>
      <c r="E198" s="3" t="s">
        <v>1888</v>
      </c>
      <c r="F198" s="3" t="s">
        <v>1888</v>
      </c>
      <c r="G198" s="24" t="str">
        <f>HYPERLINK("https://www.biospace.com/press-releases/mavrix-bio-announces-first-patient-dosed-in-ascend-as-trial-of-mvx-220-investigational-gene-therapy-for-angelman-syndrome","https://www.biospace.com/press-releases/mavrix-bio-announces-first-patient-dosed-in-ascend-as-trial-of-mvx-220-investigational-gene-therapy-for-angelman-syndrome")</f>
        <v>https://www.biospace.com/press-releases/mavrix-bio-announces-first-patient-dosed-in-ascend-as-trial-of-mvx-220-investigational-gene-therapy-for-angelman-syndrome</v>
      </c>
    </row>
    <row r="199" spans="1:7" ht="30" customHeight="1">
      <c r="A199" s="4" t="s">
        <v>1911</v>
      </c>
      <c r="B199" s="3" t="s">
        <v>1912</v>
      </c>
      <c r="C199" s="3" t="s">
        <v>1913</v>
      </c>
      <c r="D199" s="3" t="s">
        <v>1914</v>
      </c>
      <c r="E199" s="3" t="s">
        <v>1915</v>
      </c>
      <c r="F199" s="3" t="s">
        <v>1888</v>
      </c>
      <c r="G199" s="24" t="str">
        <f>HYPERLINK("https://angelmansyndromenews.com/news/roche-stopping-testing-work-rugonersen-angelman-syndrome/","https://angelmansyndromenews.com/news/roche-stopping-testing-work-rugonersen-angelman-syndrome/")</f>
        <v>https://angelmansyndromenews.com/news/roche-stopping-testing-work-rugonersen-angelman-syndrome/</v>
      </c>
    </row>
    <row r="201" spans="1:7" ht="24" customHeight="1">
      <c r="A201" s="10" t="s">
        <v>1916</v>
      </c>
      <c r="B201" s="10"/>
      <c r="C201" s="10"/>
      <c r="D201" s="10"/>
      <c r="E201" s="10"/>
      <c r="F201" s="10"/>
      <c r="G201" s="10"/>
    </row>
    <row r="202" spans="1:7" ht="19.5" customHeight="1">
      <c r="A202" s="2" t="s">
        <v>1917</v>
      </c>
      <c r="B202" s="2" t="s">
        <v>1918</v>
      </c>
      <c r="C202" s="2" t="s">
        <v>1919</v>
      </c>
      <c r="D202" s="2" t="s">
        <v>1868</v>
      </c>
      <c r="E202" s="2" t="s">
        <v>175</v>
      </c>
      <c r="F202" s="2" t="s">
        <v>177</v>
      </c>
      <c r="G202" s="2" t="s">
        <v>1871</v>
      </c>
    </row>
    <row r="203" spans="1:7" ht="30" customHeight="1">
      <c r="A203" s="3" t="s">
        <v>1920</v>
      </c>
      <c r="B203" s="3" t="s">
        <v>1921</v>
      </c>
      <c r="C203" s="3" t="s">
        <v>1922</v>
      </c>
      <c r="D203" s="3" t="s">
        <v>1923</v>
      </c>
      <c r="E203" s="3" t="s">
        <v>1924</v>
      </c>
      <c r="F203" s="3" t="s">
        <v>304</v>
      </c>
      <c r="G203" s="24" t="str">
        <f>HYPERLINK("https://clinicaltrials.gov/study/NCT06914609","https://clinicaltrials.gov/study/NCT06914609")</f>
        <v>https://clinicaltrials.gov/study/NCT06914609</v>
      </c>
    </row>
    <row r="204" spans="1:7" ht="30" customHeight="1">
      <c r="A204" s="3" t="s">
        <v>1920</v>
      </c>
      <c r="B204" s="3" t="s">
        <v>435</v>
      </c>
      <c r="C204" s="7" t="s">
        <v>1925</v>
      </c>
      <c r="D204" s="3" t="s">
        <v>1923</v>
      </c>
      <c r="E204" s="3" t="s">
        <v>1926</v>
      </c>
      <c r="F204" s="3" t="s">
        <v>434</v>
      </c>
      <c r="G204" s="24" t="str">
        <f>HYPERLINK("https://www.fsm.unipi.it/2026/05/21/angelman-trial-clinico-ionis-pisa-2026/","https://www.fsm.unipi.it/2026/05/21/angelman-trial-clinico-ionis-pisa-2026/")</f>
        <v>https://www.fsm.unipi.it/2026/05/21/angelman-trial-clinico-ionis-pisa-2026/</v>
      </c>
    </row>
    <row r="205" spans="1:7" ht="30" customHeight="1">
      <c r="A205" s="3" t="s">
        <v>1920</v>
      </c>
      <c r="B205" s="3" t="s">
        <v>1927</v>
      </c>
      <c r="C205" s="7" t="s">
        <v>1928</v>
      </c>
      <c r="D205" s="3" t="s">
        <v>1923</v>
      </c>
      <c r="E205" s="3" t="s">
        <v>1926</v>
      </c>
      <c r="F205" s="3" t="s">
        <v>1929</v>
      </c>
      <c r="G205" s="24" t="str">
        <f>HYPERLINK("https://www.fsm.unipi.it/2026/05/21/angelman-trial-clinico-ionis-pisa-2026/","https://www.fsm.unipi.it/2026/05/21/angelman-trial-clinico-ionis-pisa-2026/")</f>
        <v>https://www.fsm.unipi.it/2026/05/21/angelman-trial-clinico-ionis-pisa-2026/</v>
      </c>
    </row>
    <row r="206" spans="1:7" ht="30" customHeight="1">
      <c r="A206" s="3" t="s">
        <v>1920</v>
      </c>
      <c r="B206" s="3" t="s">
        <v>1930</v>
      </c>
      <c r="C206" s="7" t="s">
        <v>1931</v>
      </c>
      <c r="D206" s="3" t="s">
        <v>1923</v>
      </c>
      <c r="E206" s="3" t="s">
        <v>1926</v>
      </c>
      <c r="F206" s="3" t="s">
        <v>454</v>
      </c>
      <c r="G206" s="24" t="str">
        <f>HYPERLINK("https://www.fsm.unipi.it/2026/05/21/angelman-trial-clinico-ionis-pisa-2026/","https://www.fsm.unipi.it/2026/05/21/angelman-trial-clinico-ionis-pisa-2026/")</f>
        <v>https://www.fsm.unipi.it/2026/05/21/angelman-trial-clinico-ionis-pisa-2026/</v>
      </c>
    </row>
    <row r="207" spans="1:7" ht="30" customHeight="1">
      <c r="A207" s="3" t="s">
        <v>1920</v>
      </c>
      <c r="B207" s="7" t="s">
        <v>1932</v>
      </c>
      <c r="C207" s="7" t="s">
        <v>1933</v>
      </c>
      <c r="D207" s="3" t="s">
        <v>1923</v>
      </c>
      <c r="E207" s="3" t="s">
        <v>1926</v>
      </c>
      <c r="F207" s="3" t="s">
        <v>1934</v>
      </c>
      <c r="G207" s="24" t="str">
        <f>HYPERLINK("https://www.fsm.unipi.it/2026/05/21/angelman-trial-clinico-ionis-pisa-2026/","https://www.fsm.unipi.it/2026/05/21/angelman-trial-clinico-ionis-pisa-2026/")</f>
        <v>https://www.fsm.unipi.it/2026/05/21/angelman-trial-clinico-ionis-pisa-2026/</v>
      </c>
    </row>
    <row r="208" spans="1:7" ht="17.25" customHeight="1">
      <c r="A208" s="3" t="s">
        <v>1920</v>
      </c>
      <c r="B208" s="3" t="s">
        <v>1935</v>
      </c>
      <c r="C208" s="3" t="s">
        <v>1922</v>
      </c>
      <c r="D208" s="3" t="s">
        <v>1923</v>
      </c>
      <c r="E208" s="3" t="s">
        <v>1936</v>
      </c>
      <c r="F208" s="3" t="s">
        <v>613</v>
      </c>
      <c r="G208" s="24" t="str">
        <f>HYPERLINK("https://clinicaltrials.gov/study/NCT06914609","https://clinicaltrials.gov/study/NCT06914609")</f>
        <v>https://clinicaltrials.gov/study/NCT06914609</v>
      </c>
    </row>
    <row r="209" spans="1:7" ht="30" customHeight="1">
      <c r="A209" s="3" t="s">
        <v>1920</v>
      </c>
      <c r="B209" s="3" t="s">
        <v>1937</v>
      </c>
      <c r="C209" s="3" t="s">
        <v>1922</v>
      </c>
      <c r="D209" s="3" t="s">
        <v>1923</v>
      </c>
      <c r="E209" s="3" t="s">
        <v>1936</v>
      </c>
      <c r="F209" s="3" t="s">
        <v>1938</v>
      </c>
      <c r="G209" s="24" t="str">
        <f>HYPERLINK("https://clinicaltrials.gov/study/NCT06914609","https://clinicaltrials.gov/study/NCT06914609")</f>
        <v>https://clinicaltrials.gov/study/NCT06914609</v>
      </c>
    </row>
    <row r="210" spans="1:7" ht="17.25" customHeight="1">
      <c r="A210" s="3" t="s">
        <v>1920</v>
      </c>
      <c r="B210" s="3" t="s">
        <v>1939</v>
      </c>
      <c r="C210" s="3" t="s">
        <v>1922</v>
      </c>
      <c r="D210" s="3" t="s">
        <v>1923</v>
      </c>
      <c r="E210" s="3" t="s">
        <v>1940</v>
      </c>
      <c r="F210" s="3" t="s">
        <v>728</v>
      </c>
      <c r="G210" s="24" t="str">
        <f>HYPERLINK("https://clinicaltrials.gov/study/NCT06914609","https://clinicaltrials.gov/study/NCT06914609")</f>
        <v>https://clinicaltrials.gov/study/NCT06914609</v>
      </c>
    </row>
    <row r="211" spans="1:7" ht="17.25" customHeight="1">
      <c r="A211" s="3" t="s">
        <v>1920</v>
      </c>
      <c r="B211" s="3" t="s">
        <v>1941</v>
      </c>
      <c r="C211" s="3" t="s">
        <v>1922</v>
      </c>
      <c r="D211" s="3" t="s">
        <v>1923</v>
      </c>
      <c r="E211" s="3" t="s">
        <v>1940</v>
      </c>
      <c r="F211" s="3" t="s">
        <v>699</v>
      </c>
      <c r="G211" s="24" t="str">
        <f>HYPERLINK("https://clinicaltrials.gov/study/NCT06914609","https://clinicaltrials.gov/study/NCT06914609")</f>
        <v>https://clinicaltrials.gov/study/NCT06914609</v>
      </c>
    </row>
    <row r="212" spans="1:7" ht="17.25" customHeight="1">
      <c r="A212" s="3" t="s">
        <v>1942</v>
      </c>
      <c r="B212" s="3" t="s">
        <v>195</v>
      </c>
      <c r="C212" s="3" t="s">
        <v>1922</v>
      </c>
      <c r="D212" s="3" t="s">
        <v>1943</v>
      </c>
      <c r="E212" s="3" t="s">
        <v>1944</v>
      </c>
      <c r="F212" s="3" t="s">
        <v>184</v>
      </c>
      <c r="G212" s="24" t="str">
        <f>HYPERLINK("https://eichor.com/study/NCT05127226","https://eichor.com/study/NCT05127226")</f>
        <v>https://eichor.com/study/NCT05127226</v>
      </c>
    </row>
    <row r="213" spans="1:7" ht="17.25" customHeight="1">
      <c r="A213" s="3" t="s">
        <v>1942</v>
      </c>
      <c r="B213" s="3" t="s">
        <v>1945</v>
      </c>
      <c r="C213" s="3" t="s">
        <v>1922</v>
      </c>
      <c r="D213" s="3" t="s">
        <v>1943</v>
      </c>
      <c r="E213" s="3" t="s">
        <v>1926</v>
      </c>
      <c r="F213" s="3" t="s">
        <v>1929</v>
      </c>
      <c r="G213" s="24" t="str">
        <f>HYPERLINK("https://eichor.com/study/NCT05127226","https://eichor.com/study/NCT05127226")</f>
        <v>https://eichor.com/study/NCT05127226</v>
      </c>
    </row>
    <row r="214" spans="1:7" ht="17.25" customHeight="1">
      <c r="A214" s="3" t="s">
        <v>1942</v>
      </c>
      <c r="B214" s="3" t="s">
        <v>1946</v>
      </c>
      <c r="C214" s="3" t="s">
        <v>1922</v>
      </c>
      <c r="D214" s="3" t="s">
        <v>1943</v>
      </c>
      <c r="E214" s="3" t="s">
        <v>1940</v>
      </c>
      <c r="F214" s="3" t="s">
        <v>699</v>
      </c>
      <c r="G214" s="24" t="str">
        <f>HYPERLINK("https://eichor.com/study/NCT05127226","https://eichor.com/study/NCT05127226")</f>
        <v>https://eichor.com/study/NCT05127226</v>
      </c>
    </row>
    <row r="215" spans="1:7" ht="17.25" customHeight="1">
      <c r="A215" s="3" t="s">
        <v>1947</v>
      </c>
      <c r="B215" s="3" t="s">
        <v>1948</v>
      </c>
      <c r="C215" s="3" t="s">
        <v>1922</v>
      </c>
      <c r="D215" s="3" t="s">
        <v>1875</v>
      </c>
      <c r="E215" s="3" t="s">
        <v>1924</v>
      </c>
      <c r="F215" s="3" t="s">
        <v>337</v>
      </c>
      <c r="G215" s="24" t="str">
        <f>HYPERLINK("https://eichor.com/study/NCT06617429","https://eichor.com/study/NCT06617429")</f>
        <v>https://eichor.com/study/NCT06617429</v>
      </c>
    </row>
    <row r="216" spans="1:7" ht="17.25" customHeight="1">
      <c r="A216" s="3" t="s">
        <v>1947</v>
      </c>
      <c r="B216" s="3" t="s">
        <v>1949</v>
      </c>
      <c r="C216" s="3" t="s">
        <v>1922</v>
      </c>
      <c r="D216" s="3" t="s">
        <v>1875</v>
      </c>
      <c r="E216" s="3" t="s">
        <v>1924</v>
      </c>
      <c r="F216" s="3" t="s">
        <v>315</v>
      </c>
      <c r="G216" s="24" t="str">
        <f>HYPERLINK("https://eichor.com/study/NCT06617429","https://eichor.com/study/NCT06617429")</f>
        <v>https://eichor.com/study/NCT06617429</v>
      </c>
    </row>
    <row r="217" spans="1:7" ht="17.25" customHeight="1">
      <c r="A217" s="3" t="s">
        <v>1947</v>
      </c>
      <c r="B217" s="3" t="s">
        <v>1950</v>
      </c>
      <c r="C217" s="3" t="s">
        <v>1922</v>
      </c>
      <c r="D217" s="3" t="s">
        <v>1875</v>
      </c>
      <c r="E217" s="3" t="s">
        <v>1924</v>
      </c>
      <c r="F217" s="3" t="s">
        <v>304</v>
      </c>
      <c r="G217" s="24" t="str">
        <f>HYPERLINK("https://eichor.com/study/NCT06617429","https://eichor.com/study/NCT06617429")</f>
        <v>https://eichor.com/study/NCT06617429</v>
      </c>
    </row>
    <row r="218" spans="1:7" ht="17.25" customHeight="1">
      <c r="A218" s="3" t="s">
        <v>1947</v>
      </c>
      <c r="B218" s="3" t="s">
        <v>1951</v>
      </c>
      <c r="C218" s="3" t="s">
        <v>1922</v>
      </c>
      <c r="D218" s="3" t="s">
        <v>1875</v>
      </c>
      <c r="E218" s="3" t="s">
        <v>1936</v>
      </c>
      <c r="F218" s="3" t="s">
        <v>592</v>
      </c>
      <c r="G218" s="24" t="str">
        <f>HYPERLINK("https://eichor.com/study/NCT06617429","https://eichor.com/study/NCT06617429")</f>
        <v>https://eichor.com/study/NCT06617429</v>
      </c>
    </row>
    <row r="219" spans="1:7" ht="17.25" customHeight="1">
      <c r="A219" s="3" t="s">
        <v>1947</v>
      </c>
      <c r="B219" s="3" t="s">
        <v>1935</v>
      </c>
      <c r="C219" s="3" t="s">
        <v>1922</v>
      </c>
      <c r="D219" s="3" t="s">
        <v>1875</v>
      </c>
      <c r="E219" s="3" t="s">
        <v>1936</v>
      </c>
      <c r="F219" s="3" t="s">
        <v>642</v>
      </c>
      <c r="G219" s="24" t="str">
        <f>HYPERLINK("https://eichor.com/study/NCT06617429","https://eichor.com/study/NCT06617429")</f>
        <v>https://eichor.com/study/NCT06617429</v>
      </c>
    </row>
    <row r="220" spans="1:7" ht="17.25" customHeight="1">
      <c r="A220" s="3" t="s">
        <v>1947</v>
      </c>
      <c r="B220" s="3" t="s">
        <v>1952</v>
      </c>
      <c r="C220" s="3" t="s">
        <v>1922</v>
      </c>
      <c r="D220" s="3" t="s">
        <v>1875</v>
      </c>
      <c r="E220" s="3" t="s">
        <v>1936</v>
      </c>
      <c r="F220" s="3" t="s">
        <v>1953</v>
      </c>
      <c r="G220" s="24" t="str">
        <f>HYPERLINK("https://eichor.com/study/NCT06617429","https://eichor.com/study/NCT06617429")</f>
        <v>https://eichor.com/study/NCT06617429</v>
      </c>
    </row>
    <row r="221" spans="1:7" ht="17.25" customHeight="1">
      <c r="A221" s="3" t="s">
        <v>1947</v>
      </c>
      <c r="B221" s="3" t="s">
        <v>1954</v>
      </c>
      <c r="C221" s="3" t="s">
        <v>1922</v>
      </c>
      <c r="D221" s="3" t="s">
        <v>1875</v>
      </c>
      <c r="E221" s="3" t="s">
        <v>1936</v>
      </c>
      <c r="F221" s="3" t="s">
        <v>623</v>
      </c>
      <c r="G221" s="24" t="str">
        <f>HYPERLINK("https://eichor.com/study/NCT06617429","https://eichor.com/study/NCT06617429")</f>
        <v>https://eichor.com/study/NCT06617429</v>
      </c>
    </row>
    <row r="222" spans="1:7" ht="17.25" customHeight="1">
      <c r="A222" s="3" t="s">
        <v>1955</v>
      </c>
      <c r="B222" s="3" t="s">
        <v>1956</v>
      </c>
      <c r="C222" s="3" t="s">
        <v>1922</v>
      </c>
      <c r="D222" s="3" t="s">
        <v>1957</v>
      </c>
      <c r="E222" s="3" t="s">
        <v>1944</v>
      </c>
      <c r="F222" s="3" t="s">
        <v>205</v>
      </c>
      <c r="G222" s="24" t="str">
        <f>HYPERLINK("https://clinicaltrials.gov/study/NCT04259281","https://clinicaltrials.gov/study/NCT04259281")</f>
        <v>https://clinicaltrials.gov/study/NCT04259281</v>
      </c>
    </row>
    <row r="223" spans="1:7" ht="17.25" customHeight="1">
      <c r="A223" s="3" t="s">
        <v>1955</v>
      </c>
      <c r="B223" s="3" t="s">
        <v>195</v>
      </c>
      <c r="C223" s="3" t="s">
        <v>1922</v>
      </c>
      <c r="D223" s="3" t="s">
        <v>1957</v>
      </c>
      <c r="E223" s="3" t="s">
        <v>1944</v>
      </c>
      <c r="F223" s="3" t="s">
        <v>184</v>
      </c>
      <c r="G223" s="24" t="str">
        <f>HYPERLINK("https://clinicaltrials.gov/study/NCT04259281","https://clinicaltrials.gov/study/NCT04259281")</f>
        <v>https://clinicaltrials.gov/study/NCT04259281</v>
      </c>
    </row>
    <row r="224" spans="1:7" ht="17.25" customHeight="1">
      <c r="A224" s="3" t="s">
        <v>1955</v>
      </c>
      <c r="B224" s="3" t="s">
        <v>1948</v>
      </c>
      <c r="C224" s="3" t="s">
        <v>1922</v>
      </c>
      <c r="D224" s="3" t="s">
        <v>1957</v>
      </c>
      <c r="E224" s="3" t="s">
        <v>1924</v>
      </c>
      <c r="F224" s="3" t="s">
        <v>337</v>
      </c>
      <c r="G224" s="24" t="str">
        <f>HYPERLINK("https://clinicaltrials.gov/study/NCT04259281","https://clinicaltrials.gov/study/NCT04259281")</f>
        <v>https://clinicaltrials.gov/study/NCT04259281</v>
      </c>
    </row>
    <row r="225" spans="1:7" ht="17.25" customHeight="1">
      <c r="A225" s="3" t="s">
        <v>1955</v>
      </c>
      <c r="B225" s="3" t="s">
        <v>1949</v>
      </c>
      <c r="C225" s="3" t="s">
        <v>1922</v>
      </c>
      <c r="D225" s="3" t="s">
        <v>1957</v>
      </c>
      <c r="E225" s="3" t="s">
        <v>1924</v>
      </c>
      <c r="F225" s="3" t="s">
        <v>315</v>
      </c>
      <c r="G225" s="24" t="str">
        <f>HYPERLINK("https://clinicaltrials.gov/study/NCT04259281","https://clinicaltrials.gov/study/NCT04259281")</f>
        <v>https://clinicaltrials.gov/study/NCT04259281</v>
      </c>
    </row>
    <row r="226" spans="1:7" ht="17.25" customHeight="1">
      <c r="A226" s="3" t="s">
        <v>1955</v>
      </c>
      <c r="B226" s="3" t="s">
        <v>1935</v>
      </c>
      <c r="C226" s="3" t="s">
        <v>1922</v>
      </c>
      <c r="D226" s="3" t="s">
        <v>1957</v>
      </c>
      <c r="E226" s="3" t="s">
        <v>1936</v>
      </c>
      <c r="F226" s="3" t="s">
        <v>1958</v>
      </c>
      <c r="G226" s="24" t="str">
        <f>HYPERLINK("https://clinicaltrials.gov/study/NCT04259281","https://clinicaltrials.gov/study/NCT04259281")</f>
        <v>https://clinicaltrials.gov/study/NCT04259281</v>
      </c>
    </row>
    <row r="227" spans="1:7" ht="17.25" customHeight="1">
      <c r="A227" s="3" t="s">
        <v>1955</v>
      </c>
      <c r="B227" s="3" t="s">
        <v>1951</v>
      </c>
      <c r="C227" s="3" t="s">
        <v>1922</v>
      </c>
      <c r="D227" s="3" t="s">
        <v>1957</v>
      </c>
      <c r="E227" s="3" t="s">
        <v>1936</v>
      </c>
      <c r="F227" s="3" t="s">
        <v>1938</v>
      </c>
      <c r="G227" s="24" t="str">
        <f>HYPERLINK("https://clinicaltrials.gov/study/NCT04259281","https://clinicaltrials.gov/study/NCT04259281")</f>
        <v>https://clinicaltrials.gov/study/NCT04259281</v>
      </c>
    </row>
    <row r="228" spans="1:7" ht="17.25" customHeight="1">
      <c r="A228" s="3" t="s">
        <v>1955</v>
      </c>
      <c r="B228" s="3" t="s">
        <v>1952</v>
      </c>
      <c r="C228" s="3" t="s">
        <v>1922</v>
      </c>
      <c r="D228" s="3" t="s">
        <v>1957</v>
      </c>
      <c r="E228" s="3" t="s">
        <v>1936</v>
      </c>
      <c r="F228" s="3" t="s">
        <v>603</v>
      </c>
      <c r="G228" s="24" t="str">
        <f>HYPERLINK("https://clinicaltrials.gov/study/NCT04259281","https://clinicaltrials.gov/study/NCT04259281")</f>
        <v>https://clinicaltrials.gov/study/NCT04259281</v>
      </c>
    </row>
    <row r="229" spans="1:7" ht="17.25" customHeight="1">
      <c r="A229" s="3" t="s">
        <v>1955</v>
      </c>
      <c r="B229" s="3" t="s">
        <v>1959</v>
      </c>
      <c r="C229" s="3" t="s">
        <v>1922</v>
      </c>
      <c r="D229" s="3" t="s">
        <v>1957</v>
      </c>
      <c r="E229" s="3" t="s">
        <v>1940</v>
      </c>
      <c r="F229" s="3" t="s">
        <v>719</v>
      </c>
      <c r="G229" s="24" t="str">
        <f>HYPERLINK("https://clinicaltrials.gov/study/NCT04259281","https://clinicaltrials.gov/study/NCT04259281")</f>
        <v>https://clinicaltrials.gov/study/NCT04259281</v>
      </c>
    </row>
    <row r="230" spans="1:7" ht="17.25" customHeight="1">
      <c r="A230" s="3" t="s">
        <v>1955</v>
      </c>
      <c r="B230" s="3" t="s">
        <v>1960</v>
      </c>
      <c r="C230" s="3" t="s">
        <v>1922</v>
      </c>
      <c r="D230" s="3" t="s">
        <v>1957</v>
      </c>
      <c r="E230" s="3" t="s">
        <v>1940</v>
      </c>
      <c r="F230" s="3" t="s">
        <v>728</v>
      </c>
      <c r="G230" s="24" t="str">
        <f>HYPERLINK("https://clinicaltrials.gov/study/NCT04259281","https://clinicaltrials.gov/study/NCT04259281")</f>
        <v>https://clinicaltrials.gov/study/NCT04259281</v>
      </c>
    </row>
    <row r="231" spans="1:7" ht="17.25" customHeight="1">
      <c r="A231" s="3" t="s">
        <v>1955</v>
      </c>
      <c r="B231" s="3" t="s">
        <v>1961</v>
      </c>
      <c r="C231" s="3" t="s">
        <v>1922</v>
      </c>
      <c r="D231" s="3" t="s">
        <v>1957</v>
      </c>
      <c r="E231" s="3" t="s">
        <v>1940</v>
      </c>
      <c r="F231" s="3" t="s">
        <v>699</v>
      </c>
      <c r="G231" s="24" t="str">
        <f>HYPERLINK("https://clinicaltrials.gov/study/NCT04259281","https://clinicaltrials.gov/study/NCT04259281")</f>
        <v>https://clinicaltrials.gov/study/NCT04259281</v>
      </c>
    </row>
    <row r="232" spans="1:7" ht="42.75" customHeight="1">
      <c r="A232" s="3" t="s">
        <v>1962</v>
      </c>
      <c r="B232" s="3" t="s">
        <v>1963</v>
      </c>
      <c r="C232" s="3" t="s">
        <v>1964</v>
      </c>
      <c r="D232" s="3" t="s">
        <v>1892</v>
      </c>
      <c r="E232" s="3" t="s">
        <v>1936</v>
      </c>
      <c r="F232" s="3" t="s">
        <v>1938</v>
      </c>
      <c r="G232" s="24" t="str">
        <f>HYPERLINK("https://forpatients.roche.com/en/trials/neurodevelopmental-disorder/angelman-syndrome/a-study-to-investigate-the-safety--tolerability--pharma-19556.html","https://forpatients.roche.com/en/trials/neurodevelopmental-disorder/angelman-syndrome/a-study-to-investigate-the-safety--tolerability--pharma-19556.html")</f>
        <v>https://forpatients.roche.com/en/trials/neurodevelopmental-disorder/angelman-syndrome/a-study-to-investigate-the-safety--tolerability--pharma-19556.html</v>
      </c>
    </row>
    <row r="233" spans="1:7" ht="42.75" customHeight="1">
      <c r="A233" s="3" t="s">
        <v>1962</v>
      </c>
      <c r="B233" s="3" t="s">
        <v>1935</v>
      </c>
      <c r="C233" s="3" t="s">
        <v>1964</v>
      </c>
      <c r="D233" s="3" t="s">
        <v>1892</v>
      </c>
      <c r="E233" s="3" t="s">
        <v>1936</v>
      </c>
      <c r="F233" s="3" t="s">
        <v>1958</v>
      </c>
      <c r="G233" s="24" t="str">
        <f>HYPERLINK("https://forpatients.roche.com/en/trials/neurodevelopmental-disorder/angelman-syndrome/a-study-to-investigate-the-safety--tolerability--pharma-19556.html","https://forpatients.roche.com/en/trials/neurodevelopmental-disorder/angelman-syndrome/a-study-to-investigate-the-safety--tolerability--pharma-19556.html")</f>
        <v>https://forpatients.roche.com/en/trials/neurodevelopmental-disorder/angelman-syndrome/a-study-to-investigate-the-safety--tolerability--pharma-19556.html</v>
      </c>
    </row>
    <row r="234" spans="1:7" ht="42.75" customHeight="1">
      <c r="A234" s="3" t="s">
        <v>1962</v>
      </c>
      <c r="B234" s="3" t="s">
        <v>1954</v>
      </c>
      <c r="C234" s="3" t="s">
        <v>1964</v>
      </c>
      <c r="D234" s="3" t="s">
        <v>1892</v>
      </c>
      <c r="E234" s="3" t="s">
        <v>1936</v>
      </c>
      <c r="F234" s="3" t="s">
        <v>623</v>
      </c>
      <c r="G234" s="24" t="str">
        <f>HYPERLINK("https://forpatients.roche.com/en/trials/neurodevelopmental-disorder/angelman-syndrome/a-study-to-investigate-the-safety--tolerability--pharma-19556.html","https://forpatients.roche.com/en/trials/neurodevelopmental-disorder/angelman-syndrome/a-study-to-investigate-the-safety--tolerability--pharma-19556.html")</f>
        <v>https://forpatients.roche.com/en/trials/neurodevelopmental-disorder/angelman-syndrome/a-study-to-investigate-the-safety--tolerability--pharma-19556.html</v>
      </c>
    </row>
    <row r="235" spans="1:7" ht="42.75" customHeight="1">
      <c r="A235" s="3" t="s">
        <v>1962</v>
      </c>
      <c r="B235" s="3" t="s">
        <v>1930</v>
      </c>
      <c r="C235" s="3" t="s">
        <v>1964</v>
      </c>
      <c r="D235" s="3" t="s">
        <v>1892</v>
      </c>
      <c r="E235" s="3" t="s">
        <v>1926</v>
      </c>
      <c r="F235" s="3" t="s">
        <v>454</v>
      </c>
      <c r="G235" s="24" t="str">
        <f>HYPERLINK("https://forpatients.roche.com/en/trials/neurodevelopmental-disorder/angelman-syndrome/a-study-to-investigate-the-safety--tolerability--pharma-19556.html","https://forpatients.roche.com/en/trials/neurodevelopmental-disorder/angelman-syndrome/a-study-to-investigate-the-safety--tolerability--pharma-19556.html")</f>
        <v>https://forpatients.roche.com/en/trials/neurodevelopmental-disorder/angelman-syndrome/a-study-to-investigate-the-safety--tolerability--pharma-19556.html</v>
      </c>
    </row>
  </sheetData>
  <mergeCells count="38">
    <mergeCell ref="A190:G190"/>
    <mergeCell ref="A201:G201"/>
    <mergeCell ref="B183:G183"/>
    <mergeCell ref="B184:G184"/>
    <mergeCell ref="B185:G185"/>
    <mergeCell ref="B186:G186"/>
    <mergeCell ref="B187:G187"/>
    <mergeCell ref="B188:G188"/>
    <mergeCell ref="B177:G177"/>
    <mergeCell ref="B178:G178"/>
    <mergeCell ref="B179:G179"/>
    <mergeCell ref="B180:G180"/>
    <mergeCell ref="B181:G181"/>
    <mergeCell ref="B182:G182"/>
    <mergeCell ref="B171:G171"/>
    <mergeCell ref="B172:G172"/>
    <mergeCell ref="B173:G173"/>
    <mergeCell ref="B174:G174"/>
    <mergeCell ref="B175:G175"/>
    <mergeCell ref="B176:G176"/>
    <mergeCell ref="B165:G165"/>
    <mergeCell ref="B166:G166"/>
    <mergeCell ref="B167:G167"/>
    <mergeCell ref="B168:G168"/>
    <mergeCell ref="B169:G169"/>
    <mergeCell ref="B170:G170"/>
    <mergeCell ref="B159:G159"/>
    <mergeCell ref="B160:G160"/>
    <mergeCell ref="B161:G161"/>
    <mergeCell ref="B162:G162"/>
    <mergeCell ref="B163:G163"/>
    <mergeCell ref="B164:G164"/>
    <mergeCell ref="A1:G1"/>
    <mergeCell ref="A154:G154"/>
    <mergeCell ref="B155:G155"/>
    <mergeCell ref="B156:G156"/>
    <mergeCell ref="B157:G157"/>
    <mergeCell ref="B158:G158"/>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2D7B-AE71-4563-AAC8-D17156396FC1}">
  <dimension ref="A1:G96"/>
  <sheetViews>
    <sheetView workbookViewId="0">
      <pane ySplit="2" topLeftCell="A3" activePane="bottomLeft" state="frozen"/>
      <selection pane="bottomLeft"/>
    </sheetView>
  </sheetViews>
  <sheetFormatPr defaultRowHeight="15"/>
  <cols>
    <col min="1" max="1" width="6.7109375" customWidth="1"/>
    <col min="2" max="2" width="22.7109375" customWidth="1"/>
    <col min="3" max="3" width="30.7109375" customWidth="1"/>
    <col min="4" max="4" width="40.7109375" customWidth="1"/>
    <col min="5" max="5" width="70.7109375" customWidth="1"/>
    <col min="6" max="6" width="55.7109375" customWidth="1"/>
    <col min="7" max="7" width="20.7109375" customWidth="1"/>
  </cols>
  <sheetData>
    <row r="1" spans="1:7" ht="36" customHeight="1">
      <c r="A1" s="10" t="s">
        <v>1965</v>
      </c>
      <c r="B1" s="10"/>
      <c r="C1" s="10"/>
      <c r="D1" s="10"/>
      <c r="E1" s="10"/>
      <c r="F1" s="10"/>
      <c r="G1" s="10"/>
    </row>
    <row r="2" spans="1:7" ht="19.5" customHeight="1">
      <c r="A2" s="2" t="s">
        <v>1966</v>
      </c>
      <c r="B2" s="2" t="s">
        <v>1967</v>
      </c>
      <c r="C2" s="2" t="s">
        <v>1968</v>
      </c>
      <c r="D2" s="2" t="s">
        <v>1969</v>
      </c>
      <c r="E2" s="2" t="s">
        <v>1970</v>
      </c>
      <c r="F2" s="2" t="s">
        <v>1971</v>
      </c>
      <c r="G2" s="2" t="s">
        <v>1972</v>
      </c>
    </row>
    <row r="3" spans="1:7" ht="56.25" customHeight="1">
      <c r="A3" s="8">
        <v>1</v>
      </c>
      <c r="B3" s="3" t="s">
        <v>19</v>
      </c>
      <c r="C3" s="3" t="s">
        <v>1973</v>
      </c>
      <c r="D3" s="3" t="s">
        <v>1974</v>
      </c>
      <c r="E3" s="3" t="s">
        <v>1975</v>
      </c>
      <c r="F3" s="3" t="s">
        <v>1976</v>
      </c>
      <c r="G3" s="26" t="s">
        <v>1977</v>
      </c>
    </row>
    <row r="4" spans="1:7" ht="42.75" customHeight="1">
      <c r="A4" s="8">
        <v>2</v>
      </c>
      <c r="B4" s="3" t="s">
        <v>19</v>
      </c>
      <c r="C4" s="3" t="s">
        <v>1978</v>
      </c>
      <c r="D4" s="3" t="s">
        <v>1979</v>
      </c>
      <c r="E4" s="3" t="s">
        <v>1980</v>
      </c>
      <c r="F4" s="3" t="s">
        <v>1981</v>
      </c>
      <c r="G4" s="26" t="s">
        <v>1982</v>
      </c>
    </row>
    <row r="5" spans="1:7" ht="42.75" customHeight="1">
      <c r="A5" s="8">
        <v>3</v>
      </c>
      <c r="B5" s="3" t="s">
        <v>19</v>
      </c>
      <c r="C5" s="3" t="s">
        <v>1983</v>
      </c>
      <c r="D5" s="3" t="s">
        <v>1984</v>
      </c>
      <c r="E5" s="3" t="s">
        <v>1985</v>
      </c>
      <c r="F5" s="3" t="s">
        <v>1986</v>
      </c>
      <c r="G5" s="26" t="s">
        <v>1982</v>
      </c>
    </row>
    <row r="6" spans="1:7" ht="30" customHeight="1">
      <c r="A6" s="8">
        <v>4</v>
      </c>
      <c r="B6" s="3" t="s">
        <v>21</v>
      </c>
      <c r="C6" s="3" t="s">
        <v>1987</v>
      </c>
      <c r="D6" s="3" t="s">
        <v>1988</v>
      </c>
      <c r="E6" s="3" t="s">
        <v>1989</v>
      </c>
      <c r="F6" s="3" t="s">
        <v>1990</v>
      </c>
      <c r="G6" s="26" t="s">
        <v>1991</v>
      </c>
    </row>
    <row r="7" spans="1:7" ht="30" customHeight="1">
      <c r="A7" s="8">
        <v>5</v>
      </c>
      <c r="B7" s="3" t="s">
        <v>19</v>
      </c>
      <c r="C7" s="3" t="s">
        <v>1992</v>
      </c>
      <c r="D7" s="3" t="s">
        <v>1993</v>
      </c>
      <c r="E7" s="3" t="s">
        <v>1994</v>
      </c>
      <c r="F7" s="3" t="s">
        <v>1995</v>
      </c>
      <c r="G7" s="26" t="s">
        <v>1977</v>
      </c>
    </row>
    <row r="8" spans="1:7" ht="42.75" customHeight="1">
      <c r="A8" s="8">
        <v>6</v>
      </c>
      <c r="B8" s="3" t="s">
        <v>19</v>
      </c>
      <c r="C8" s="3" t="s">
        <v>1996</v>
      </c>
      <c r="D8" s="3" t="s">
        <v>1997</v>
      </c>
      <c r="E8" s="3" t="s">
        <v>1998</v>
      </c>
      <c r="F8" s="3" t="s">
        <v>1999</v>
      </c>
      <c r="G8" s="26" t="s">
        <v>2000</v>
      </c>
    </row>
    <row r="9" spans="1:7" ht="42.75" customHeight="1">
      <c r="A9" s="8">
        <v>7</v>
      </c>
      <c r="B9" s="3" t="s">
        <v>21</v>
      </c>
      <c r="C9" s="3" t="s">
        <v>2001</v>
      </c>
      <c r="D9" s="3" t="s">
        <v>2002</v>
      </c>
      <c r="E9" s="3" t="s">
        <v>2003</v>
      </c>
      <c r="F9" s="3" t="s">
        <v>2004</v>
      </c>
      <c r="G9" s="26" t="s">
        <v>2005</v>
      </c>
    </row>
    <row r="10" spans="1:7" ht="42.75" customHeight="1">
      <c r="A10" s="8">
        <v>8</v>
      </c>
      <c r="B10" s="3" t="s">
        <v>19</v>
      </c>
      <c r="C10" s="3" t="s">
        <v>2006</v>
      </c>
      <c r="D10" s="3" t="s">
        <v>2007</v>
      </c>
      <c r="E10" s="3" t="s">
        <v>2008</v>
      </c>
      <c r="F10" s="3" t="s">
        <v>2009</v>
      </c>
      <c r="G10" s="26" t="s">
        <v>2010</v>
      </c>
    </row>
    <row r="11" spans="1:7" ht="30" customHeight="1">
      <c r="A11" s="8">
        <v>9</v>
      </c>
      <c r="B11" s="3" t="s">
        <v>21</v>
      </c>
      <c r="C11" s="3" t="s">
        <v>2011</v>
      </c>
      <c r="D11" s="3" t="s">
        <v>2012</v>
      </c>
      <c r="E11" s="3" t="s">
        <v>2013</v>
      </c>
      <c r="F11" s="3" t="s">
        <v>2014</v>
      </c>
      <c r="G11" s="26" t="s">
        <v>1982</v>
      </c>
    </row>
    <row r="12" spans="1:7" ht="42.75" customHeight="1">
      <c r="A12" s="8">
        <v>10</v>
      </c>
      <c r="B12" s="3" t="s">
        <v>21</v>
      </c>
      <c r="C12" s="3" t="s">
        <v>2015</v>
      </c>
      <c r="D12" s="3" t="s">
        <v>2016</v>
      </c>
      <c r="E12" s="3" t="s">
        <v>2017</v>
      </c>
      <c r="F12" s="3" t="s">
        <v>2018</v>
      </c>
      <c r="G12" s="26" t="s">
        <v>1977</v>
      </c>
    </row>
    <row r="13" spans="1:7" ht="56.25" customHeight="1">
      <c r="A13" s="8">
        <v>11</v>
      </c>
      <c r="B13" s="3" t="s">
        <v>21</v>
      </c>
      <c r="C13" s="3" t="s">
        <v>2019</v>
      </c>
      <c r="D13" s="3" t="s">
        <v>2020</v>
      </c>
      <c r="E13" s="3" t="s">
        <v>2021</v>
      </c>
      <c r="F13" s="3" t="s">
        <v>2022</v>
      </c>
      <c r="G13" s="26" t="s">
        <v>2010</v>
      </c>
    </row>
    <row r="14" spans="1:7" ht="30" customHeight="1">
      <c r="A14" s="8">
        <v>12</v>
      </c>
      <c r="B14" s="3" t="s">
        <v>19</v>
      </c>
      <c r="C14" s="3" t="s">
        <v>2023</v>
      </c>
      <c r="D14" s="3" t="s">
        <v>2024</v>
      </c>
      <c r="E14" s="3" t="s">
        <v>2025</v>
      </c>
      <c r="F14" s="3" t="s">
        <v>2026</v>
      </c>
      <c r="G14" s="26" t="s">
        <v>1977</v>
      </c>
    </row>
    <row r="15" spans="1:7" ht="30" customHeight="1">
      <c r="A15" s="8">
        <v>13</v>
      </c>
      <c r="B15" s="3" t="s">
        <v>21</v>
      </c>
      <c r="C15" s="3" t="s">
        <v>2027</v>
      </c>
      <c r="D15" s="3" t="s">
        <v>2028</v>
      </c>
      <c r="E15" s="3" t="s">
        <v>2029</v>
      </c>
      <c r="F15" s="3" t="s">
        <v>2030</v>
      </c>
      <c r="G15" s="26" t="s">
        <v>1977</v>
      </c>
    </row>
    <row r="16" spans="1:7" ht="30" customHeight="1">
      <c r="A16" s="8">
        <v>14</v>
      </c>
      <c r="B16" s="3" t="s">
        <v>19</v>
      </c>
      <c r="C16" s="3" t="s">
        <v>2031</v>
      </c>
      <c r="D16" s="3" t="s">
        <v>2032</v>
      </c>
      <c r="E16" s="3" t="s">
        <v>2033</v>
      </c>
      <c r="F16" s="3" t="s">
        <v>2034</v>
      </c>
      <c r="G16" s="26" t="s">
        <v>2010</v>
      </c>
    </row>
    <row r="17" spans="1:7" ht="30" customHeight="1">
      <c r="A17" s="8">
        <v>15</v>
      </c>
      <c r="B17" s="3" t="s">
        <v>19</v>
      </c>
      <c r="C17" s="3" t="s">
        <v>2035</v>
      </c>
      <c r="D17" s="3" t="s">
        <v>2036</v>
      </c>
      <c r="E17" s="3" t="s">
        <v>2037</v>
      </c>
      <c r="F17" s="3" t="s">
        <v>2038</v>
      </c>
      <c r="G17" s="26" t="s">
        <v>2000</v>
      </c>
    </row>
    <row r="18" spans="1:7" ht="30" customHeight="1">
      <c r="A18" s="8">
        <v>16</v>
      </c>
      <c r="B18" s="3" t="s">
        <v>19</v>
      </c>
      <c r="C18" s="3" t="s">
        <v>2039</v>
      </c>
      <c r="D18" s="3" t="s">
        <v>2040</v>
      </c>
      <c r="E18" s="3" t="s">
        <v>2041</v>
      </c>
      <c r="F18" s="3" t="s">
        <v>2042</v>
      </c>
      <c r="G18" s="26" t="s">
        <v>1982</v>
      </c>
    </row>
    <row r="19" spans="1:7" ht="30" customHeight="1">
      <c r="A19" s="8">
        <v>17</v>
      </c>
      <c r="B19" s="3" t="s">
        <v>19</v>
      </c>
      <c r="C19" s="3" t="s">
        <v>2043</v>
      </c>
      <c r="D19" s="3" t="s">
        <v>2044</v>
      </c>
      <c r="E19" s="3" t="s">
        <v>2045</v>
      </c>
      <c r="F19" s="3" t="s">
        <v>2046</v>
      </c>
      <c r="G19" s="26" t="s">
        <v>1977</v>
      </c>
    </row>
    <row r="20" spans="1:7" ht="17.25" customHeight="1">
      <c r="A20" s="8">
        <v>18</v>
      </c>
      <c r="B20" s="3" t="s">
        <v>19</v>
      </c>
      <c r="C20" s="3" t="s">
        <v>2047</v>
      </c>
      <c r="D20" s="3" t="s">
        <v>2048</v>
      </c>
      <c r="E20" s="3" t="s">
        <v>2049</v>
      </c>
      <c r="F20" s="3" t="s">
        <v>2050</v>
      </c>
      <c r="G20" s="26" t="s">
        <v>1977</v>
      </c>
    </row>
    <row r="21" spans="1:7" ht="30" customHeight="1">
      <c r="A21" s="8">
        <v>19</v>
      </c>
      <c r="B21" s="3" t="s">
        <v>21</v>
      </c>
      <c r="C21" s="3" t="s">
        <v>2051</v>
      </c>
      <c r="D21" s="3" t="s">
        <v>2052</v>
      </c>
      <c r="E21" s="3" t="s">
        <v>2053</v>
      </c>
      <c r="F21" s="3" t="s">
        <v>2054</v>
      </c>
      <c r="G21" s="26" t="s">
        <v>1982</v>
      </c>
    </row>
    <row r="22" spans="1:7" ht="42.75" customHeight="1">
      <c r="A22" s="8">
        <v>20</v>
      </c>
      <c r="B22" s="3" t="s">
        <v>21</v>
      </c>
      <c r="C22" s="3" t="s">
        <v>2055</v>
      </c>
      <c r="D22" s="3" t="s">
        <v>2056</v>
      </c>
      <c r="E22" s="3" t="s">
        <v>2057</v>
      </c>
      <c r="F22" s="3" t="s">
        <v>2058</v>
      </c>
      <c r="G22" s="26" t="s">
        <v>1991</v>
      </c>
    </row>
    <row r="23" spans="1:7" ht="30" customHeight="1">
      <c r="A23" s="8">
        <v>21</v>
      </c>
      <c r="B23" s="3" t="s">
        <v>21</v>
      </c>
      <c r="C23" s="3" t="s">
        <v>2059</v>
      </c>
      <c r="D23" s="3" t="s">
        <v>2060</v>
      </c>
      <c r="E23" s="3" t="s">
        <v>2061</v>
      </c>
      <c r="F23" s="3" t="s">
        <v>2062</v>
      </c>
      <c r="G23" s="26" t="s">
        <v>1977</v>
      </c>
    </row>
    <row r="24" spans="1:7" ht="17.25" customHeight="1">
      <c r="A24" s="8">
        <v>22</v>
      </c>
      <c r="B24" s="3" t="s">
        <v>21</v>
      </c>
      <c r="C24" s="3" t="s">
        <v>2063</v>
      </c>
      <c r="D24" s="3" t="s">
        <v>2064</v>
      </c>
      <c r="E24" s="3" t="s">
        <v>2065</v>
      </c>
      <c r="F24" s="3" t="s">
        <v>2066</v>
      </c>
      <c r="G24" s="26" t="s">
        <v>2010</v>
      </c>
    </row>
    <row r="25" spans="1:7" ht="30" customHeight="1">
      <c r="A25" s="8">
        <v>23</v>
      </c>
      <c r="B25" s="3" t="s">
        <v>19</v>
      </c>
      <c r="C25" s="3" t="s">
        <v>2067</v>
      </c>
      <c r="D25" s="3" t="s">
        <v>2068</v>
      </c>
      <c r="E25" s="3" t="s">
        <v>2069</v>
      </c>
      <c r="F25" s="3" t="s">
        <v>1888</v>
      </c>
      <c r="G25" s="26" t="s">
        <v>2010</v>
      </c>
    </row>
    <row r="26" spans="1:7" ht="42.75" customHeight="1">
      <c r="A26" s="8">
        <v>24</v>
      </c>
      <c r="B26" s="3" t="s">
        <v>19</v>
      </c>
      <c r="C26" s="3" t="s">
        <v>2070</v>
      </c>
      <c r="D26" s="3" t="s">
        <v>2071</v>
      </c>
      <c r="E26" s="3" t="s">
        <v>2072</v>
      </c>
      <c r="F26" s="3" t="s">
        <v>2073</v>
      </c>
      <c r="G26" s="26" t="s">
        <v>1977</v>
      </c>
    </row>
    <row r="27" spans="1:7" ht="30" customHeight="1">
      <c r="A27" s="8">
        <v>25</v>
      </c>
      <c r="B27" s="3" t="s">
        <v>21</v>
      </c>
      <c r="C27" s="3" t="s">
        <v>2074</v>
      </c>
      <c r="D27" s="3" t="s">
        <v>2075</v>
      </c>
      <c r="E27" s="3" t="s">
        <v>2076</v>
      </c>
      <c r="F27" s="3" t="s">
        <v>2077</v>
      </c>
      <c r="G27" s="26" t="s">
        <v>2010</v>
      </c>
    </row>
    <row r="28" spans="1:7" ht="42.75" customHeight="1">
      <c r="A28" s="8">
        <v>26</v>
      </c>
      <c r="B28" s="3" t="s">
        <v>21</v>
      </c>
      <c r="C28" s="3" t="s">
        <v>2078</v>
      </c>
      <c r="D28" s="3" t="s">
        <v>2079</v>
      </c>
      <c r="E28" s="3" t="s">
        <v>2080</v>
      </c>
      <c r="F28" s="3" t="s">
        <v>2081</v>
      </c>
      <c r="G28" s="26" t="s">
        <v>1977</v>
      </c>
    </row>
    <row r="29" spans="1:7" ht="42.75" customHeight="1">
      <c r="A29" s="8">
        <v>27</v>
      </c>
      <c r="B29" s="3" t="s">
        <v>19</v>
      </c>
      <c r="C29" s="3" t="s">
        <v>2082</v>
      </c>
      <c r="D29" s="3" t="s">
        <v>2083</v>
      </c>
      <c r="E29" s="3" t="s">
        <v>2084</v>
      </c>
      <c r="F29" s="3" t="s">
        <v>2085</v>
      </c>
      <c r="G29" s="26" t="s">
        <v>1977</v>
      </c>
    </row>
    <row r="30" spans="1:7" ht="42.75" customHeight="1">
      <c r="A30" s="8">
        <v>28</v>
      </c>
      <c r="B30" s="3" t="s">
        <v>19</v>
      </c>
      <c r="C30" s="3" t="s">
        <v>2086</v>
      </c>
      <c r="D30" s="3" t="s">
        <v>2087</v>
      </c>
      <c r="E30" s="3" t="s">
        <v>2088</v>
      </c>
      <c r="F30" s="3" t="s">
        <v>2089</v>
      </c>
      <c r="G30" s="26" t="s">
        <v>1977</v>
      </c>
    </row>
    <row r="31" spans="1:7" ht="30" customHeight="1">
      <c r="A31" s="8">
        <v>29</v>
      </c>
      <c r="B31" s="3" t="s">
        <v>19</v>
      </c>
      <c r="C31" s="3" t="s">
        <v>2090</v>
      </c>
      <c r="D31" s="3" t="s">
        <v>2091</v>
      </c>
      <c r="E31" s="3" t="s">
        <v>2092</v>
      </c>
      <c r="F31" s="3" t="s">
        <v>2093</v>
      </c>
      <c r="G31" s="26" t="s">
        <v>1977</v>
      </c>
    </row>
    <row r="32" spans="1:7" ht="30" customHeight="1">
      <c r="A32" s="8">
        <v>30</v>
      </c>
      <c r="B32" s="3" t="s">
        <v>21</v>
      </c>
      <c r="C32" s="3" t="s">
        <v>2094</v>
      </c>
      <c r="D32" s="3" t="s">
        <v>2095</v>
      </c>
      <c r="E32" s="3" t="s">
        <v>2096</v>
      </c>
      <c r="F32" s="3" t="s">
        <v>2097</v>
      </c>
      <c r="G32" s="26" t="s">
        <v>2010</v>
      </c>
    </row>
    <row r="33" spans="1:7" ht="30" customHeight="1">
      <c r="A33" s="8">
        <v>31</v>
      </c>
      <c r="B33" s="3" t="s">
        <v>21</v>
      </c>
      <c r="C33" s="3" t="s">
        <v>2098</v>
      </c>
      <c r="D33" s="3" t="s">
        <v>2099</v>
      </c>
      <c r="E33" s="3" t="s">
        <v>2100</v>
      </c>
      <c r="F33" s="3" t="s">
        <v>2101</v>
      </c>
      <c r="G33" s="26" t="s">
        <v>2010</v>
      </c>
    </row>
    <row r="34" spans="1:7" ht="42.75" customHeight="1">
      <c r="A34" s="8">
        <v>32</v>
      </c>
      <c r="B34" s="3" t="s">
        <v>21</v>
      </c>
      <c r="C34" s="3" t="s">
        <v>2102</v>
      </c>
      <c r="D34" s="3" t="s">
        <v>2103</v>
      </c>
      <c r="E34" s="3" t="s">
        <v>2104</v>
      </c>
      <c r="F34" s="3" t="s">
        <v>2105</v>
      </c>
      <c r="G34" s="26" t="s">
        <v>1991</v>
      </c>
    </row>
    <row r="35" spans="1:7" ht="30" customHeight="1">
      <c r="A35" s="8">
        <v>33</v>
      </c>
      <c r="B35" s="3" t="s">
        <v>19</v>
      </c>
      <c r="C35" s="3" t="s">
        <v>2106</v>
      </c>
      <c r="D35" s="3" t="s">
        <v>2107</v>
      </c>
      <c r="E35" s="3" t="s">
        <v>2108</v>
      </c>
      <c r="F35" s="3" t="s">
        <v>2109</v>
      </c>
      <c r="G35" s="26" t="s">
        <v>1991</v>
      </c>
    </row>
    <row r="36" spans="1:7" ht="30" customHeight="1">
      <c r="A36" s="8">
        <v>34</v>
      </c>
      <c r="B36" s="3" t="s">
        <v>19</v>
      </c>
      <c r="C36" s="3" t="s">
        <v>2110</v>
      </c>
      <c r="D36" s="3" t="s">
        <v>2111</v>
      </c>
      <c r="E36" s="3" t="s">
        <v>2112</v>
      </c>
      <c r="F36" s="3" t="s">
        <v>2113</v>
      </c>
      <c r="G36" s="26" t="s">
        <v>1982</v>
      </c>
    </row>
    <row r="37" spans="1:7" ht="30" customHeight="1">
      <c r="A37" s="8">
        <v>35</v>
      </c>
      <c r="B37" s="3" t="s">
        <v>19</v>
      </c>
      <c r="C37" s="3" t="s">
        <v>2114</v>
      </c>
      <c r="D37" s="3" t="s">
        <v>2115</v>
      </c>
      <c r="E37" s="3" t="s">
        <v>2116</v>
      </c>
      <c r="F37" s="3" t="s">
        <v>2117</v>
      </c>
      <c r="G37" s="26" t="s">
        <v>2010</v>
      </c>
    </row>
    <row r="38" spans="1:7" ht="42.75" customHeight="1">
      <c r="A38" s="8">
        <v>36</v>
      </c>
      <c r="B38" s="3" t="s">
        <v>19</v>
      </c>
      <c r="C38" s="3" t="s">
        <v>2118</v>
      </c>
      <c r="D38" s="3" t="s">
        <v>2119</v>
      </c>
      <c r="E38" s="3" t="s">
        <v>2120</v>
      </c>
      <c r="F38" s="3" t="s">
        <v>1888</v>
      </c>
      <c r="G38" s="26" t="s">
        <v>2010</v>
      </c>
    </row>
    <row r="39" spans="1:7" ht="30" customHeight="1">
      <c r="A39" s="8">
        <v>37</v>
      </c>
      <c r="B39" s="3" t="s">
        <v>19</v>
      </c>
      <c r="C39" s="3" t="s">
        <v>2121</v>
      </c>
      <c r="D39" s="3" t="s">
        <v>2122</v>
      </c>
      <c r="E39" s="3" t="s">
        <v>2123</v>
      </c>
      <c r="F39" s="3" t="s">
        <v>2124</v>
      </c>
      <c r="G39" s="26" t="s">
        <v>1977</v>
      </c>
    </row>
    <row r="40" spans="1:7" ht="30" customHeight="1">
      <c r="A40" s="8">
        <v>38</v>
      </c>
      <c r="B40" s="3" t="s">
        <v>19</v>
      </c>
      <c r="C40" s="3" t="s">
        <v>2125</v>
      </c>
      <c r="D40" s="3" t="s">
        <v>2126</v>
      </c>
      <c r="E40" s="3" t="s">
        <v>2127</v>
      </c>
      <c r="F40" s="3" t="s">
        <v>2128</v>
      </c>
      <c r="G40" s="26" t="s">
        <v>1977</v>
      </c>
    </row>
    <row r="41" spans="1:7" ht="30" customHeight="1">
      <c r="A41" s="8">
        <v>39</v>
      </c>
      <c r="B41" s="3" t="s">
        <v>19</v>
      </c>
      <c r="C41" s="3" t="s">
        <v>2129</v>
      </c>
      <c r="D41" s="3" t="s">
        <v>2130</v>
      </c>
      <c r="E41" s="3" t="s">
        <v>2131</v>
      </c>
      <c r="F41" s="3" t="s">
        <v>2132</v>
      </c>
      <c r="G41" s="26" t="s">
        <v>1977</v>
      </c>
    </row>
    <row r="42" spans="1:7" ht="42.75" customHeight="1">
      <c r="A42" s="8">
        <v>40</v>
      </c>
      <c r="B42" s="3" t="s">
        <v>21</v>
      </c>
      <c r="C42" s="3" t="s">
        <v>2133</v>
      </c>
      <c r="D42" s="3" t="s">
        <v>2134</v>
      </c>
      <c r="E42" s="3" t="s">
        <v>2135</v>
      </c>
      <c r="F42" s="3" t="s">
        <v>2136</v>
      </c>
      <c r="G42" s="26" t="s">
        <v>1977</v>
      </c>
    </row>
    <row r="43" spans="1:7" ht="42.75" customHeight="1">
      <c r="A43" s="8">
        <v>41</v>
      </c>
      <c r="B43" s="3" t="s">
        <v>19</v>
      </c>
      <c r="C43" s="3" t="s">
        <v>2137</v>
      </c>
      <c r="D43" s="3" t="s">
        <v>2138</v>
      </c>
      <c r="E43" s="3" t="s">
        <v>2139</v>
      </c>
      <c r="F43" s="3" t="s">
        <v>2140</v>
      </c>
      <c r="G43" s="26" t="s">
        <v>1977</v>
      </c>
    </row>
    <row r="44" spans="1:7" ht="42.75" customHeight="1">
      <c r="A44" s="8">
        <v>42</v>
      </c>
      <c r="B44" s="3" t="s">
        <v>19</v>
      </c>
      <c r="C44" s="3" t="s">
        <v>2141</v>
      </c>
      <c r="D44" s="3" t="s">
        <v>2142</v>
      </c>
      <c r="E44" s="3" t="s">
        <v>2143</v>
      </c>
      <c r="F44" s="3" t="s">
        <v>2144</v>
      </c>
      <c r="G44" s="26" t="s">
        <v>1977</v>
      </c>
    </row>
    <row r="45" spans="1:7" ht="42.75" customHeight="1">
      <c r="A45" s="8">
        <v>43</v>
      </c>
      <c r="B45" s="3" t="s">
        <v>21</v>
      </c>
      <c r="C45" s="3" t="s">
        <v>2145</v>
      </c>
      <c r="D45" s="3" t="s">
        <v>2146</v>
      </c>
      <c r="E45" s="3" t="s">
        <v>2147</v>
      </c>
      <c r="F45" s="3" t="s">
        <v>2148</v>
      </c>
      <c r="G45" s="26" t="s">
        <v>1977</v>
      </c>
    </row>
    <row r="46" spans="1:7" ht="30" customHeight="1">
      <c r="A46" s="8">
        <v>44</v>
      </c>
      <c r="B46" s="3" t="s">
        <v>21</v>
      </c>
      <c r="C46" s="3" t="s">
        <v>2149</v>
      </c>
      <c r="D46" s="3" t="s">
        <v>2150</v>
      </c>
      <c r="E46" s="3" t="s">
        <v>2151</v>
      </c>
      <c r="F46" s="3" t="s">
        <v>2152</v>
      </c>
      <c r="G46" s="26" t="s">
        <v>1991</v>
      </c>
    </row>
    <row r="47" spans="1:7" ht="42.75" customHeight="1">
      <c r="A47" s="8">
        <v>45</v>
      </c>
      <c r="B47" s="3" t="s">
        <v>21</v>
      </c>
      <c r="C47" s="3" t="s">
        <v>2153</v>
      </c>
      <c r="D47" s="3" t="s">
        <v>2154</v>
      </c>
      <c r="E47" s="3" t="s">
        <v>2155</v>
      </c>
      <c r="F47" s="3" t="s">
        <v>2156</v>
      </c>
      <c r="G47" s="26" t="s">
        <v>1991</v>
      </c>
    </row>
    <row r="48" spans="1:7" ht="42.75" customHeight="1">
      <c r="A48" s="8">
        <v>46</v>
      </c>
      <c r="B48" s="3" t="s">
        <v>21</v>
      </c>
      <c r="C48" s="3" t="s">
        <v>2157</v>
      </c>
      <c r="D48" s="3" t="s">
        <v>2158</v>
      </c>
      <c r="E48" s="3" t="s">
        <v>2159</v>
      </c>
      <c r="F48" s="3" t="s">
        <v>2160</v>
      </c>
      <c r="G48" s="26" t="s">
        <v>2010</v>
      </c>
    </row>
    <row r="49" spans="1:7" ht="56.25" customHeight="1">
      <c r="A49" s="8">
        <v>47</v>
      </c>
      <c r="B49" s="3" t="s">
        <v>21</v>
      </c>
      <c r="C49" s="3" t="s">
        <v>2161</v>
      </c>
      <c r="D49" s="3" t="s">
        <v>2162</v>
      </c>
      <c r="E49" s="3" t="s">
        <v>2163</v>
      </c>
      <c r="F49" s="3" t="s">
        <v>2164</v>
      </c>
      <c r="G49" s="26" t="s">
        <v>2010</v>
      </c>
    </row>
    <row r="50" spans="1:7" ht="30" customHeight="1">
      <c r="A50" s="8">
        <v>48</v>
      </c>
      <c r="B50" s="3" t="s">
        <v>21</v>
      </c>
      <c r="C50" s="3" t="s">
        <v>2165</v>
      </c>
      <c r="D50" s="3" t="s">
        <v>2166</v>
      </c>
      <c r="E50" s="3" t="s">
        <v>2167</v>
      </c>
      <c r="F50" s="3" t="s">
        <v>2168</v>
      </c>
      <c r="G50" s="26" t="s">
        <v>1982</v>
      </c>
    </row>
    <row r="51" spans="1:7" ht="42.75" customHeight="1">
      <c r="A51" s="8">
        <v>49</v>
      </c>
      <c r="B51" s="3" t="s">
        <v>19</v>
      </c>
      <c r="C51" s="3" t="s">
        <v>2169</v>
      </c>
      <c r="D51" s="3" t="s">
        <v>2170</v>
      </c>
      <c r="E51" s="3" t="s">
        <v>2171</v>
      </c>
      <c r="F51" s="3" t="s">
        <v>2172</v>
      </c>
      <c r="G51" s="26" t="s">
        <v>2010</v>
      </c>
    </row>
    <row r="52" spans="1:7" ht="56.25" customHeight="1">
      <c r="A52" s="8">
        <v>50</v>
      </c>
      <c r="B52" s="3" t="s">
        <v>19</v>
      </c>
      <c r="C52" s="3" t="s">
        <v>2173</v>
      </c>
      <c r="D52" s="3" t="s">
        <v>2174</v>
      </c>
      <c r="E52" s="3" t="s">
        <v>2175</v>
      </c>
      <c r="F52" s="3" t="s">
        <v>2176</v>
      </c>
      <c r="G52" s="26" t="s">
        <v>1982</v>
      </c>
    </row>
    <row r="53" spans="1:7" ht="42.75" customHeight="1">
      <c r="A53" s="8">
        <v>51</v>
      </c>
      <c r="B53" s="3" t="s">
        <v>19</v>
      </c>
      <c r="C53" s="3" t="s">
        <v>2177</v>
      </c>
      <c r="D53" s="3" t="s">
        <v>2178</v>
      </c>
      <c r="E53" s="3" t="s">
        <v>2179</v>
      </c>
      <c r="F53" s="3" t="s">
        <v>2180</v>
      </c>
      <c r="G53" s="26" t="s">
        <v>2000</v>
      </c>
    </row>
    <row r="54" spans="1:7" ht="42.75" customHeight="1">
      <c r="A54" s="8">
        <v>52</v>
      </c>
      <c r="B54" s="3" t="s">
        <v>19</v>
      </c>
      <c r="C54" s="3" t="s">
        <v>2181</v>
      </c>
      <c r="D54" s="3" t="s">
        <v>2182</v>
      </c>
      <c r="E54" s="3" t="s">
        <v>2183</v>
      </c>
      <c r="F54" s="3" t="s">
        <v>2184</v>
      </c>
      <c r="G54" s="26" t="s">
        <v>2010</v>
      </c>
    </row>
    <row r="55" spans="1:7" ht="42.75" customHeight="1">
      <c r="A55" s="8">
        <v>53</v>
      </c>
      <c r="B55" s="3" t="s">
        <v>19</v>
      </c>
      <c r="C55" s="3" t="s">
        <v>2185</v>
      </c>
      <c r="D55" s="3" t="s">
        <v>2186</v>
      </c>
      <c r="E55" s="3" t="s">
        <v>2187</v>
      </c>
      <c r="F55" s="3" t="s">
        <v>2188</v>
      </c>
      <c r="G55" s="26" t="s">
        <v>2010</v>
      </c>
    </row>
    <row r="56" spans="1:7" ht="30" customHeight="1">
      <c r="A56" s="8">
        <v>54</v>
      </c>
      <c r="B56" s="3" t="s">
        <v>19</v>
      </c>
      <c r="C56" s="3" t="s">
        <v>2189</v>
      </c>
      <c r="D56" s="3" t="s">
        <v>2190</v>
      </c>
      <c r="E56" s="3" t="s">
        <v>2191</v>
      </c>
      <c r="F56" s="3" t="s">
        <v>2192</v>
      </c>
      <c r="G56" s="26" t="s">
        <v>2000</v>
      </c>
    </row>
    <row r="57" spans="1:7" ht="30" customHeight="1">
      <c r="A57" s="8">
        <v>55</v>
      </c>
      <c r="B57" s="3" t="s">
        <v>19</v>
      </c>
      <c r="C57" s="3" t="s">
        <v>2193</v>
      </c>
      <c r="D57" s="3" t="s">
        <v>2194</v>
      </c>
      <c r="E57" s="3" t="s">
        <v>2195</v>
      </c>
      <c r="F57" s="3" t="s">
        <v>2184</v>
      </c>
      <c r="G57" s="26" t="s">
        <v>2010</v>
      </c>
    </row>
    <row r="58" spans="1:7" ht="30" customHeight="1">
      <c r="A58" s="8">
        <v>56</v>
      </c>
      <c r="B58" s="3" t="s">
        <v>19</v>
      </c>
      <c r="C58" s="3" t="s">
        <v>2196</v>
      </c>
      <c r="D58" s="3" t="s">
        <v>2197</v>
      </c>
      <c r="E58" s="3" t="s">
        <v>2198</v>
      </c>
      <c r="F58" s="3" t="s">
        <v>2199</v>
      </c>
      <c r="G58" s="26" t="s">
        <v>1977</v>
      </c>
    </row>
    <row r="59" spans="1:7" ht="42.75" customHeight="1">
      <c r="A59" s="8">
        <v>57</v>
      </c>
      <c r="B59" s="3" t="s">
        <v>21</v>
      </c>
      <c r="C59" s="3" t="s">
        <v>2200</v>
      </c>
      <c r="D59" s="3" t="s">
        <v>2201</v>
      </c>
      <c r="E59" s="3" t="s">
        <v>2202</v>
      </c>
      <c r="F59" s="3" t="s">
        <v>2203</v>
      </c>
      <c r="G59" s="26" t="s">
        <v>1991</v>
      </c>
    </row>
    <row r="60" spans="1:7" ht="30" customHeight="1">
      <c r="A60" s="8">
        <v>58</v>
      </c>
      <c r="B60" s="3" t="s">
        <v>21</v>
      </c>
      <c r="C60" s="3" t="s">
        <v>2204</v>
      </c>
      <c r="D60" s="3" t="s">
        <v>2205</v>
      </c>
      <c r="E60" s="3" t="s">
        <v>2206</v>
      </c>
      <c r="F60" s="3" t="s">
        <v>2207</v>
      </c>
      <c r="G60" s="26" t="s">
        <v>1982</v>
      </c>
    </row>
    <row r="61" spans="1:7" ht="42.75" customHeight="1">
      <c r="A61" s="8">
        <v>59</v>
      </c>
      <c r="B61" s="3" t="s">
        <v>21</v>
      </c>
      <c r="C61" s="3" t="s">
        <v>2208</v>
      </c>
      <c r="D61" s="3" t="s">
        <v>2209</v>
      </c>
      <c r="E61" s="3" t="s">
        <v>2210</v>
      </c>
      <c r="F61" s="3" t="s">
        <v>2211</v>
      </c>
      <c r="G61" s="26" t="s">
        <v>1977</v>
      </c>
    </row>
    <row r="62" spans="1:7" ht="30" customHeight="1">
      <c r="A62" s="8">
        <v>60</v>
      </c>
      <c r="B62" s="3" t="s">
        <v>21</v>
      </c>
      <c r="C62" s="3" t="s">
        <v>2212</v>
      </c>
      <c r="D62" s="3" t="s">
        <v>2213</v>
      </c>
      <c r="E62" s="3" t="s">
        <v>2214</v>
      </c>
      <c r="F62" s="3" t="s">
        <v>2215</v>
      </c>
      <c r="G62" s="26" t="s">
        <v>1977</v>
      </c>
    </row>
    <row r="63" spans="1:7" ht="30" customHeight="1">
      <c r="A63" s="8">
        <v>61</v>
      </c>
      <c r="B63" s="3" t="s">
        <v>21</v>
      </c>
      <c r="C63" s="3" t="s">
        <v>2216</v>
      </c>
      <c r="D63" s="3" t="s">
        <v>2217</v>
      </c>
      <c r="E63" s="3" t="s">
        <v>2218</v>
      </c>
      <c r="F63" s="3" t="s">
        <v>2219</v>
      </c>
      <c r="G63" s="26" t="s">
        <v>1977</v>
      </c>
    </row>
    <row r="64" spans="1:7" ht="30" customHeight="1">
      <c r="A64" s="8">
        <v>62</v>
      </c>
      <c r="B64" s="3" t="s">
        <v>21</v>
      </c>
      <c r="C64" s="3" t="s">
        <v>2220</v>
      </c>
      <c r="D64" s="3" t="s">
        <v>2221</v>
      </c>
      <c r="E64" s="3" t="s">
        <v>2222</v>
      </c>
      <c r="F64" s="3" t="s">
        <v>2223</v>
      </c>
      <c r="G64" s="26" t="s">
        <v>1991</v>
      </c>
    </row>
    <row r="65" spans="1:7" ht="42.75" customHeight="1">
      <c r="A65" s="8">
        <v>63</v>
      </c>
      <c r="B65" s="3" t="s">
        <v>21</v>
      </c>
      <c r="C65" s="3" t="s">
        <v>2224</v>
      </c>
      <c r="D65" s="3" t="s">
        <v>2225</v>
      </c>
      <c r="E65" s="3" t="s">
        <v>2226</v>
      </c>
      <c r="F65" s="3" t="s">
        <v>2227</v>
      </c>
      <c r="G65" s="26" t="s">
        <v>1991</v>
      </c>
    </row>
    <row r="66" spans="1:7" ht="30" customHeight="1">
      <c r="A66" s="8">
        <v>64</v>
      </c>
      <c r="B66" s="3" t="s">
        <v>21</v>
      </c>
      <c r="C66" s="3" t="s">
        <v>2228</v>
      </c>
      <c r="D66" s="3" t="s">
        <v>2229</v>
      </c>
      <c r="E66" s="3" t="s">
        <v>2230</v>
      </c>
      <c r="F66" s="3" t="s">
        <v>2231</v>
      </c>
      <c r="G66" s="26" t="s">
        <v>1982</v>
      </c>
    </row>
    <row r="67" spans="1:7" ht="30" customHeight="1">
      <c r="A67" s="8">
        <v>65</v>
      </c>
      <c r="B67" s="3" t="s">
        <v>19</v>
      </c>
      <c r="C67" s="3" t="s">
        <v>2232</v>
      </c>
      <c r="D67" s="3" t="s">
        <v>2233</v>
      </c>
      <c r="E67" s="3" t="s">
        <v>2234</v>
      </c>
      <c r="F67" s="3" t="s">
        <v>2235</v>
      </c>
      <c r="G67" s="26" t="s">
        <v>1977</v>
      </c>
    </row>
    <row r="68" spans="1:7" ht="17.25" customHeight="1">
      <c r="A68" s="8">
        <v>66</v>
      </c>
      <c r="B68" s="3" t="s">
        <v>19</v>
      </c>
      <c r="C68" s="3" t="s">
        <v>2236</v>
      </c>
      <c r="D68" s="3" t="s">
        <v>2237</v>
      </c>
      <c r="E68" s="3" t="s">
        <v>2238</v>
      </c>
      <c r="F68" s="3" t="s">
        <v>2239</v>
      </c>
      <c r="G68" s="26" t="s">
        <v>1977</v>
      </c>
    </row>
    <row r="69" spans="1:7" ht="42.75" customHeight="1">
      <c r="A69" s="8">
        <v>67</v>
      </c>
      <c r="B69" s="3" t="s">
        <v>19</v>
      </c>
      <c r="C69" s="3" t="s">
        <v>2240</v>
      </c>
      <c r="D69" s="3" t="s">
        <v>2241</v>
      </c>
      <c r="E69" s="3" t="s">
        <v>2242</v>
      </c>
      <c r="F69" s="3" t="s">
        <v>2243</v>
      </c>
      <c r="G69" s="26" t="s">
        <v>1977</v>
      </c>
    </row>
    <row r="70" spans="1:7" ht="30" customHeight="1">
      <c r="A70" s="8">
        <v>68</v>
      </c>
      <c r="B70" s="3" t="s">
        <v>21</v>
      </c>
      <c r="C70" s="3" t="s">
        <v>2244</v>
      </c>
      <c r="D70" s="3" t="s">
        <v>2245</v>
      </c>
      <c r="E70" s="3" t="s">
        <v>2246</v>
      </c>
      <c r="F70" s="3" t="s">
        <v>2184</v>
      </c>
      <c r="G70" s="26" t="s">
        <v>2010</v>
      </c>
    </row>
    <row r="71" spans="1:7" ht="56.25" customHeight="1">
      <c r="A71" s="8">
        <v>69</v>
      </c>
      <c r="B71" s="3" t="s">
        <v>19</v>
      </c>
      <c r="C71" s="3" t="s">
        <v>2247</v>
      </c>
      <c r="D71" s="3" t="s">
        <v>2248</v>
      </c>
      <c r="E71" s="3" t="s">
        <v>2249</v>
      </c>
      <c r="F71" s="3" t="s">
        <v>2250</v>
      </c>
      <c r="G71" s="26" t="s">
        <v>1977</v>
      </c>
    </row>
    <row r="72" spans="1:7" ht="30" customHeight="1">
      <c r="A72" s="8">
        <v>70</v>
      </c>
      <c r="B72" s="3" t="s">
        <v>19</v>
      </c>
      <c r="C72" s="3" t="s">
        <v>2251</v>
      </c>
      <c r="D72" s="3" t="s">
        <v>2252</v>
      </c>
      <c r="E72" s="3" t="s">
        <v>2253</v>
      </c>
      <c r="F72" s="3" t="s">
        <v>2254</v>
      </c>
      <c r="G72" s="26" t="s">
        <v>2005</v>
      </c>
    </row>
    <row r="73" spans="1:7" ht="30" customHeight="1">
      <c r="A73" s="8">
        <v>71</v>
      </c>
      <c r="B73" s="3" t="s">
        <v>19</v>
      </c>
      <c r="C73" s="3" t="s">
        <v>2255</v>
      </c>
      <c r="D73" s="3" t="s">
        <v>2256</v>
      </c>
      <c r="E73" s="3" t="s">
        <v>2257</v>
      </c>
      <c r="F73" s="3" t="s">
        <v>2258</v>
      </c>
      <c r="G73" s="26" t="s">
        <v>1977</v>
      </c>
    </row>
    <row r="74" spans="1:7" ht="42.75" customHeight="1">
      <c r="A74" s="8">
        <v>72</v>
      </c>
      <c r="B74" s="3" t="s">
        <v>21</v>
      </c>
      <c r="C74" s="3" t="s">
        <v>2259</v>
      </c>
      <c r="D74" s="3" t="s">
        <v>2260</v>
      </c>
      <c r="E74" s="3" t="s">
        <v>2261</v>
      </c>
      <c r="F74" s="3" t="s">
        <v>2262</v>
      </c>
      <c r="G74" s="26" t="s">
        <v>1977</v>
      </c>
    </row>
    <row r="75" spans="1:7" ht="30" customHeight="1">
      <c r="A75" s="8">
        <v>73</v>
      </c>
      <c r="B75" s="3" t="s">
        <v>2263</v>
      </c>
      <c r="C75" s="3" t="s">
        <v>2264</v>
      </c>
      <c r="D75" s="3" t="s">
        <v>2265</v>
      </c>
      <c r="E75" s="3" t="s">
        <v>2266</v>
      </c>
      <c r="F75" s="3" t="s">
        <v>1888</v>
      </c>
      <c r="G75" s="26" t="s">
        <v>2010</v>
      </c>
    </row>
    <row r="76" spans="1:7" ht="30" customHeight="1">
      <c r="A76" s="8">
        <v>74</v>
      </c>
      <c r="B76" s="3" t="s">
        <v>2263</v>
      </c>
      <c r="C76" s="3" t="s">
        <v>2267</v>
      </c>
      <c r="D76" s="3" t="s">
        <v>2268</v>
      </c>
      <c r="E76" s="3" t="s">
        <v>2269</v>
      </c>
      <c r="F76" s="3" t="s">
        <v>2270</v>
      </c>
      <c r="G76" s="26" t="s">
        <v>1982</v>
      </c>
    </row>
    <row r="77" spans="1:7" ht="30" customHeight="1">
      <c r="A77" s="8">
        <v>75</v>
      </c>
      <c r="B77" s="3" t="s">
        <v>2263</v>
      </c>
      <c r="C77" s="3" t="s">
        <v>2267</v>
      </c>
      <c r="D77" s="3" t="s">
        <v>2271</v>
      </c>
      <c r="E77" s="3" t="s">
        <v>2272</v>
      </c>
      <c r="F77" s="3" t="s">
        <v>1888</v>
      </c>
      <c r="G77" s="26" t="s">
        <v>2010</v>
      </c>
    </row>
    <row r="78" spans="1:7" ht="30" customHeight="1">
      <c r="A78" s="8">
        <v>76</v>
      </c>
      <c r="B78" s="3" t="s">
        <v>2263</v>
      </c>
      <c r="C78" s="3" t="s">
        <v>2273</v>
      </c>
      <c r="D78" s="3" t="s">
        <v>2274</v>
      </c>
      <c r="E78" s="3" t="s">
        <v>2275</v>
      </c>
      <c r="F78" s="3" t="s">
        <v>2276</v>
      </c>
      <c r="G78" s="26" t="s">
        <v>1982</v>
      </c>
    </row>
    <row r="79" spans="1:7" ht="30" customHeight="1">
      <c r="A79" s="8">
        <v>77</v>
      </c>
      <c r="B79" s="3" t="s">
        <v>2263</v>
      </c>
      <c r="C79" s="3" t="s">
        <v>2273</v>
      </c>
      <c r="D79" s="3" t="s">
        <v>2277</v>
      </c>
      <c r="E79" s="3" t="s">
        <v>2278</v>
      </c>
      <c r="F79" s="23" t="s">
        <v>2279</v>
      </c>
      <c r="G79" s="26" t="s">
        <v>2010</v>
      </c>
    </row>
    <row r="80" spans="1:7" ht="30" customHeight="1">
      <c r="A80" s="8">
        <v>78</v>
      </c>
      <c r="B80" s="3" t="s">
        <v>2263</v>
      </c>
      <c r="C80" s="3" t="s">
        <v>2267</v>
      </c>
      <c r="D80" s="3" t="s">
        <v>2280</v>
      </c>
      <c r="E80" s="3" t="s">
        <v>2281</v>
      </c>
      <c r="F80" s="3" t="s">
        <v>1888</v>
      </c>
      <c r="G80" s="26" t="s">
        <v>2010</v>
      </c>
    </row>
    <row r="81" spans="1:7" ht="30" customHeight="1">
      <c r="A81" s="8">
        <v>79</v>
      </c>
      <c r="B81" s="3" t="s">
        <v>2263</v>
      </c>
      <c r="C81" s="3" t="s">
        <v>2282</v>
      </c>
      <c r="D81" s="3" t="s">
        <v>2283</v>
      </c>
      <c r="E81" s="3" t="s">
        <v>2284</v>
      </c>
      <c r="F81" s="3" t="s">
        <v>2285</v>
      </c>
      <c r="G81" s="26" t="s">
        <v>2010</v>
      </c>
    </row>
    <row r="82" spans="1:7" ht="42.75" customHeight="1">
      <c r="A82" s="8">
        <v>80</v>
      </c>
      <c r="B82" s="3" t="s">
        <v>2263</v>
      </c>
      <c r="C82" s="3" t="s">
        <v>2286</v>
      </c>
      <c r="D82" s="3" t="s">
        <v>2287</v>
      </c>
      <c r="E82" s="3" t="s">
        <v>2288</v>
      </c>
      <c r="F82" s="3" t="s">
        <v>2289</v>
      </c>
      <c r="G82" s="26" t="s">
        <v>2010</v>
      </c>
    </row>
    <row r="83" spans="1:7" ht="30" customHeight="1">
      <c r="A83" s="8">
        <v>81</v>
      </c>
      <c r="B83" s="3" t="s">
        <v>2263</v>
      </c>
      <c r="C83" s="3" t="s">
        <v>2290</v>
      </c>
      <c r="D83" s="3" t="s">
        <v>2291</v>
      </c>
      <c r="E83" s="3" t="s">
        <v>2292</v>
      </c>
      <c r="F83" s="3" t="s">
        <v>1888</v>
      </c>
      <c r="G83" s="26" t="s">
        <v>2010</v>
      </c>
    </row>
    <row r="84" spans="1:7" ht="30" customHeight="1">
      <c r="A84" s="8">
        <v>82</v>
      </c>
      <c r="B84" s="3" t="s">
        <v>2263</v>
      </c>
      <c r="C84" s="3" t="s">
        <v>2290</v>
      </c>
      <c r="D84" s="3" t="s">
        <v>2293</v>
      </c>
      <c r="E84" s="3" t="s">
        <v>2294</v>
      </c>
      <c r="F84" s="3" t="s">
        <v>2295</v>
      </c>
      <c r="G84" s="26" t="s">
        <v>1982</v>
      </c>
    </row>
    <row r="85" spans="1:7" ht="30" customHeight="1">
      <c r="A85" s="8">
        <v>83</v>
      </c>
      <c r="B85" s="3" t="s">
        <v>2263</v>
      </c>
      <c r="C85" s="3" t="s">
        <v>2290</v>
      </c>
      <c r="D85" s="3" t="s">
        <v>2296</v>
      </c>
      <c r="E85" s="3" t="s">
        <v>2297</v>
      </c>
      <c r="F85" s="3" t="s">
        <v>1888</v>
      </c>
      <c r="G85" s="26" t="s">
        <v>2010</v>
      </c>
    </row>
    <row r="86" spans="1:7" ht="56.25" customHeight="1">
      <c r="A86" s="8">
        <v>84</v>
      </c>
      <c r="B86" s="3" t="s">
        <v>2263</v>
      </c>
      <c r="C86" s="3" t="s">
        <v>2298</v>
      </c>
      <c r="D86" s="3" t="s">
        <v>2299</v>
      </c>
      <c r="E86" s="3" t="s">
        <v>2300</v>
      </c>
      <c r="F86" s="3" t="s">
        <v>2301</v>
      </c>
      <c r="G86" s="26" t="s">
        <v>1977</v>
      </c>
    </row>
    <row r="87" spans="1:7" ht="30" customHeight="1">
      <c r="A87" s="8">
        <v>85</v>
      </c>
      <c r="B87" s="3" t="s">
        <v>2263</v>
      </c>
      <c r="C87" s="3" t="s">
        <v>2302</v>
      </c>
      <c r="D87" s="3" t="s">
        <v>2303</v>
      </c>
      <c r="E87" s="3" t="s">
        <v>2304</v>
      </c>
      <c r="F87" s="3" t="s">
        <v>1888</v>
      </c>
      <c r="G87" s="26" t="s">
        <v>2010</v>
      </c>
    </row>
    <row r="88" spans="1:7" ht="30" customHeight="1">
      <c r="A88" s="8">
        <v>86</v>
      </c>
      <c r="B88" s="3" t="s">
        <v>2263</v>
      </c>
      <c r="C88" s="3" t="s">
        <v>2305</v>
      </c>
      <c r="D88" s="3" t="s">
        <v>2306</v>
      </c>
      <c r="E88" s="3" t="s">
        <v>2307</v>
      </c>
      <c r="F88" s="3" t="s">
        <v>2308</v>
      </c>
      <c r="G88" s="26" t="s">
        <v>1977</v>
      </c>
    </row>
    <row r="89" spans="1:7" ht="30" customHeight="1">
      <c r="A89" s="8">
        <v>87</v>
      </c>
      <c r="B89" s="3" t="s">
        <v>2263</v>
      </c>
      <c r="C89" s="3" t="s">
        <v>2309</v>
      </c>
      <c r="D89" s="3" t="s">
        <v>2310</v>
      </c>
      <c r="E89" s="3" t="s">
        <v>2311</v>
      </c>
      <c r="F89" s="3" t="s">
        <v>2312</v>
      </c>
      <c r="G89" s="26" t="s">
        <v>1977</v>
      </c>
    </row>
    <row r="90" spans="1:7" ht="30" customHeight="1">
      <c r="A90" s="8">
        <v>88</v>
      </c>
      <c r="B90" s="3" t="s">
        <v>2263</v>
      </c>
      <c r="C90" s="3" t="s">
        <v>2313</v>
      </c>
      <c r="D90" s="3" t="s">
        <v>2314</v>
      </c>
      <c r="E90" s="3" t="s">
        <v>2315</v>
      </c>
      <c r="F90" s="23" t="s">
        <v>2316</v>
      </c>
      <c r="G90" s="26" t="s">
        <v>1982</v>
      </c>
    </row>
    <row r="91" spans="1:7" ht="42.75" customHeight="1">
      <c r="A91" s="8">
        <v>89</v>
      </c>
      <c r="B91" s="3" t="s">
        <v>2263</v>
      </c>
      <c r="C91" s="3" t="s">
        <v>2317</v>
      </c>
      <c r="D91" s="3" t="s">
        <v>2318</v>
      </c>
      <c r="E91" s="3" t="s">
        <v>2319</v>
      </c>
      <c r="F91" s="3" t="s">
        <v>2320</v>
      </c>
      <c r="G91" s="26" t="s">
        <v>2010</v>
      </c>
    </row>
    <row r="92" spans="1:7" ht="42.75" customHeight="1">
      <c r="A92" s="8">
        <v>90</v>
      </c>
      <c r="B92" s="3" t="s">
        <v>2263</v>
      </c>
      <c r="C92" s="3" t="s">
        <v>2321</v>
      </c>
      <c r="D92" s="3" t="s">
        <v>2322</v>
      </c>
      <c r="E92" s="3" t="s">
        <v>2323</v>
      </c>
      <c r="F92" s="3" t="s">
        <v>2324</v>
      </c>
      <c r="G92" s="26" t="s">
        <v>2005</v>
      </c>
    </row>
    <row r="93" spans="1:7" ht="42.75" customHeight="1">
      <c r="A93" s="8">
        <v>91</v>
      </c>
      <c r="B93" s="3" t="s">
        <v>2263</v>
      </c>
      <c r="C93" s="3" t="s">
        <v>2325</v>
      </c>
      <c r="D93" s="3" t="s">
        <v>2326</v>
      </c>
      <c r="E93" s="3" t="s">
        <v>2327</v>
      </c>
      <c r="F93" s="23" t="s">
        <v>2328</v>
      </c>
      <c r="G93" s="26" t="s">
        <v>1982</v>
      </c>
    </row>
    <row r="94" spans="1:7" ht="30" customHeight="1">
      <c r="A94" s="8">
        <v>92</v>
      </c>
      <c r="B94" s="3" t="s">
        <v>2263</v>
      </c>
      <c r="C94" s="3" t="s">
        <v>2329</v>
      </c>
      <c r="D94" s="3" t="s">
        <v>2330</v>
      </c>
      <c r="E94" s="3" t="s">
        <v>2331</v>
      </c>
      <c r="F94" s="3" t="s">
        <v>2332</v>
      </c>
      <c r="G94" s="26" t="s">
        <v>1982</v>
      </c>
    </row>
    <row r="96" spans="1:7" ht="57.75" customHeight="1">
      <c r="A96" s="27" t="str">
        <f>"Closing note — checked and passed: "&amp;COUNTIF(G3:G94,"VERIFIED")&amp;_xlfn._LONGTEXT(" items VERIFIED (trial identifiers, REVEAL dose/arms/endpoint/topline timing, EU sham control, first EU sites, UK enrolment, orphan designations, ERN membership checks for Spain, no Spanish P1 author, HALOS/Aspire site attributions, and independence scree","ns: no KOL found to be an Ionis/Ultragenyx/Roche/Ovid/Neuren employee). The remaining ")&amp;COUNTIF(G3:G94,"&lt;&gt;VERIFIED")&amp;" flags ("&amp;COUNTIF(G3:G94,"PART-UNVERIFIABLE")&amp;" PART-UNVERIFIABLE, "&amp;COUNTIF(G3:G94,"OUTDATED")&amp;" OUTDATED, "&amp;COUNTIF(G3:G94,"WORDING")&amp;" WORDING, "&amp;COUNTIF(G3:G94,"CONTRADICTED")&amp;" CONTRADICTED, "&amp;COUNTIF(G3:G94,"DRUG-PREMISE")&amp;" DRUG-PREMISE) require your decision; their source cells are highlighted red on the home sheets and nothing has been auto-corrected."</f>
        <v>Closing note — checked and passed: 27 items VERIFIED (trial identifiers, REVEAL dose/arms/endpoint/topline timing, EU sham control, first EU sites, UK enrolment, orphan designations, ERN membership checks for Spain, no Spanish P1 author, HALOS/Aspire site attributions, and independence screens: no KOL found to be an Ionis/Ultragenyx/Roche/Ovid/Neuren employee). The remaining 65 flags (33 PART-UNVERIFIABLE, 9 OUTDATED, 16 WORDING, 3 CONTRADICTED, 4 DRUG-PREMISE) require your decision; their source cells are highlighted red on the home sheets and nothing has been auto-corrected.</v>
      </c>
      <c r="B96" s="27"/>
      <c r="C96" s="27"/>
      <c r="D96" s="27"/>
      <c r="E96" s="27"/>
      <c r="F96" s="27"/>
      <c r="G96" s="27"/>
    </row>
  </sheetData>
  <mergeCells count="2">
    <mergeCell ref="A1:G1"/>
    <mergeCell ref="A96:G96"/>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i:0#.f|membership|ipepper@uniphar.ie</cp:lastModifiedBy>
  <cp:revision/>
  <dcterms:created xsi:type="dcterms:W3CDTF">2026-10-14T13:18:57Z</dcterms:created>
  <dcterms:modified xsi:type="dcterms:W3CDTF">2026-10-14T13:24:40Z</dcterms:modified>
  <cp:category/>
  <cp:contentStatus/>
</cp:coreProperties>
</file>