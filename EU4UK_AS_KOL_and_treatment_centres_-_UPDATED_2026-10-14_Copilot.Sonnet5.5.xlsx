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pepper\Downloads\"/>
    </mc:Choice>
  </mc:AlternateContent>
  <xr:revisionPtr revIDLastSave="0" documentId="8_{F39B70FF-3526-4E75-BD81-FE831AAD7448}" xr6:coauthVersionLast="47" xr6:coauthVersionMax="47" xr10:uidLastSave="{00000000-0000-0000-0000-000000000000}"/>
  <bookViews>
    <workbookView xWindow="-98" yWindow="-98" windowWidth="21795" windowHeight="13875" tabRatio="500" xr2:uid="{00000000-000D-0000-FFFF-FFFF00000000}"/>
  </bookViews>
  <sheets>
    <sheet name="README" sheetId="1" r:id="rId1"/>
    <sheet name="Country_Centres" sheetId="2" r:id="rId2"/>
    <sheet name="KOL_Roster" sheetId="3" r:id="rId3"/>
    <sheet name="Tier_Counts" sheetId="4" r:id="rId4"/>
    <sheet name="Infrastructure" sheetId="5" r:id="rId5"/>
    <sheet name="Sources_Caveats" sheetId="6" r:id="rId6"/>
    <sheet name="Verification_Flags" sheetId="7" r:id="rId7"/>
  </sheets>
  <definedNames>
    <definedName name="_xlnm._FilterDatabase" localSheetId="1" hidden="1">Country_Centres!$A$1:$M$42</definedName>
    <definedName name="_xlnm._FilterDatabase" localSheetId="4" hidden="1">Infrastructure!$A$1:$E$13</definedName>
    <definedName name="_xlnm._FilterDatabase" localSheetId="2" hidden="1">KOL_Roster!$A$1:$S$76</definedName>
    <definedName name="_xlnm._FilterDatabase" localSheetId="6" hidden="1">Verification_Flags!$A$1:$G$21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4" i="4" l="1"/>
  <c r="B43" i="4"/>
  <c r="B42" i="4"/>
  <c r="B41" i="4"/>
  <c r="B40" i="4"/>
  <c r="B39" i="4"/>
  <c r="B38" i="4"/>
  <c r="B37" i="4"/>
  <c r="B24" i="4"/>
  <c r="B23" i="4"/>
  <c r="B22" i="4"/>
  <c r="B21" i="4"/>
  <c r="B20" i="4"/>
  <c r="B19" i="4"/>
  <c r="B18" i="4"/>
  <c r="B17" i="4"/>
  <c r="B16" i="4"/>
  <c r="B15" i="4"/>
  <c r="F11" i="4"/>
  <c r="E9" i="4"/>
  <c r="F9" i="4" s="1"/>
  <c r="D9" i="4"/>
  <c r="C9" i="4"/>
  <c r="B9" i="4"/>
  <c r="E8" i="4"/>
  <c r="D8" i="4"/>
  <c r="C8" i="4"/>
  <c r="B8" i="4"/>
  <c r="F8" i="4" s="1"/>
  <c r="E7" i="4"/>
  <c r="E10" i="4" s="1"/>
  <c r="D7" i="4"/>
  <c r="C7" i="4"/>
  <c r="C10" i="4" s="1"/>
  <c r="B7" i="4"/>
  <c r="F7" i="4" s="1"/>
  <c r="F6" i="4"/>
  <c r="E6" i="4"/>
  <c r="D6" i="4"/>
  <c r="D10" i="4" s="1"/>
  <c r="C6" i="4"/>
  <c r="B6" i="4"/>
  <c r="E5" i="4"/>
  <c r="D5" i="4"/>
  <c r="C5" i="4"/>
  <c r="B5" i="4"/>
  <c r="F5" i="4" s="1"/>
  <c r="R76" i="3"/>
  <c r="J76" i="3"/>
  <c r="R75" i="3"/>
  <c r="J75" i="3"/>
  <c r="R74" i="3"/>
  <c r="J74" i="3" s="1"/>
  <c r="R73" i="3"/>
  <c r="J73" i="3" s="1"/>
  <c r="R72" i="3"/>
  <c r="J72" i="3" s="1"/>
  <c r="R71" i="3"/>
  <c r="J71" i="3"/>
  <c r="R70" i="3"/>
  <c r="J70" i="3"/>
  <c r="R69" i="3"/>
  <c r="J69" i="3"/>
  <c r="R68" i="3"/>
  <c r="J68" i="3"/>
  <c r="R67" i="3"/>
  <c r="J67" i="3" s="1"/>
  <c r="R66" i="3"/>
  <c r="J66" i="3" s="1"/>
  <c r="R65" i="3"/>
  <c r="J65" i="3" s="1"/>
  <c r="R64" i="3"/>
  <c r="J64" i="3"/>
  <c r="R63" i="3"/>
  <c r="J63" i="3"/>
  <c r="R62" i="3"/>
  <c r="J62" i="3"/>
  <c r="R61" i="3"/>
  <c r="J61" i="3"/>
  <c r="R60" i="3"/>
  <c r="J60" i="3" s="1"/>
  <c r="R59" i="3"/>
  <c r="J59" i="3" s="1"/>
  <c r="R58" i="3"/>
  <c r="J58" i="3" s="1"/>
  <c r="R57" i="3"/>
  <c r="J57" i="3"/>
  <c r="R56" i="3"/>
  <c r="J56" i="3"/>
  <c r="R55" i="3"/>
  <c r="J55" i="3"/>
  <c r="R54" i="3"/>
  <c r="J54" i="3"/>
  <c r="R53" i="3"/>
  <c r="J53" i="3" s="1"/>
  <c r="R52" i="3"/>
  <c r="J52" i="3" s="1"/>
  <c r="R51" i="3"/>
  <c r="J51" i="3" s="1"/>
  <c r="R50" i="3"/>
  <c r="J50" i="3"/>
  <c r="R49" i="3"/>
  <c r="J49" i="3"/>
  <c r="R48" i="3"/>
  <c r="J48" i="3"/>
  <c r="R47" i="3"/>
  <c r="J47" i="3"/>
  <c r="R46" i="3"/>
  <c r="J46" i="3" s="1"/>
  <c r="R45" i="3"/>
  <c r="J45" i="3" s="1"/>
  <c r="R44" i="3"/>
  <c r="J44" i="3" s="1"/>
  <c r="R43" i="3"/>
  <c r="J43" i="3"/>
  <c r="R42" i="3"/>
  <c r="J42" i="3"/>
  <c r="R41" i="3"/>
  <c r="J41" i="3"/>
  <c r="R40" i="3"/>
  <c r="J40" i="3"/>
  <c r="R39" i="3"/>
  <c r="J39" i="3" s="1"/>
  <c r="R38" i="3"/>
  <c r="J38" i="3" s="1"/>
  <c r="R37" i="3"/>
  <c r="J37" i="3" s="1"/>
  <c r="R36" i="3"/>
  <c r="J36" i="3"/>
  <c r="R35" i="3"/>
  <c r="J35" i="3"/>
  <c r="R34" i="3"/>
  <c r="J34" i="3"/>
  <c r="R33" i="3"/>
  <c r="J33" i="3"/>
  <c r="R32" i="3"/>
  <c r="J32" i="3" s="1"/>
  <c r="R31" i="3"/>
  <c r="J31" i="3" s="1"/>
  <c r="R30" i="3"/>
  <c r="J30" i="3" s="1"/>
  <c r="R29" i="3"/>
  <c r="J29" i="3"/>
  <c r="R28" i="3"/>
  <c r="J28" i="3"/>
  <c r="R27" i="3"/>
  <c r="J27" i="3"/>
  <c r="R26" i="3"/>
  <c r="J26" i="3"/>
  <c r="R25" i="3"/>
  <c r="J25" i="3" s="1"/>
  <c r="R24" i="3"/>
  <c r="J24" i="3" s="1"/>
  <c r="R23" i="3"/>
  <c r="J23" i="3" s="1"/>
  <c r="R22" i="3"/>
  <c r="J22" i="3"/>
  <c r="R21" i="3"/>
  <c r="J21" i="3"/>
  <c r="R20" i="3"/>
  <c r="J20" i="3"/>
  <c r="R19" i="3"/>
  <c r="J19" i="3"/>
  <c r="R18" i="3"/>
  <c r="J18" i="3" s="1"/>
  <c r="R17" i="3"/>
  <c r="J17" i="3" s="1"/>
  <c r="R16" i="3"/>
  <c r="J16" i="3" s="1"/>
  <c r="R15" i="3"/>
  <c r="J15" i="3"/>
  <c r="R14" i="3"/>
  <c r="J14" i="3"/>
  <c r="R13" i="3"/>
  <c r="J13" i="3"/>
  <c r="R12" i="3"/>
  <c r="J12" i="3"/>
  <c r="R11" i="3"/>
  <c r="J11" i="3" s="1"/>
  <c r="R10" i="3"/>
  <c r="J10" i="3" s="1"/>
  <c r="R9" i="3"/>
  <c r="J9" i="3" s="1"/>
  <c r="R8" i="3"/>
  <c r="J8" i="3"/>
  <c r="R7" i="3"/>
  <c r="J7" i="3"/>
  <c r="R6" i="3"/>
  <c r="J6" i="3"/>
  <c r="R5" i="3"/>
  <c r="J5" i="3"/>
  <c r="R4" i="3"/>
  <c r="J4" i="3" s="1"/>
  <c r="R3" i="3"/>
  <c r="J3" i="3" s="1"/>
  <c r="R2" i="3"/>
  <c r="J2" i="3" s="1"/>
  <c r="D29" i="4" l="1"/>
  <c r="C29" i="4"/>
  <c r="B29" i="4"/>
  <c r="D28" i="4"/>
  <c r="C28" i="4"/>
  <c r="B28" i="4"/>
  <c r="F10" i="4"/>
  <c r="C32" i="4"/>
  <c r="D31" i="4"/>
  <c r="B30" i="4"/>
  <c r="G11" i="4"/>
  <c r="C30" i="4"/>
  <c r="D32" i="4"/>
  <c r="D30" i="4"/>
  <c r="B10" i="4"/>
  <c r="B31" i="4"/>
  <c r="C31" i="4"/>
  <c r="B32" i="4"/>
  <c r="C33" i="4" l="1"/>
  <c r="E30" i="4"/>
  <c r="D33" i="4"/>
  <c r="E29" i="4"/>
  <c r="B33" i="4"/>
  <c r="E28" i="4"/>
  <c r="E33" i="4" s="1"/>
  <c r="E32" i="4"/>
  <c r="E31" i="4"/>
</calcChain>
</file>

<file path=xl/sharedStrings.xml><?xml version="1.0" encoding="utf-8"?>
<sst xmlns="http://schemas.openxmlformats.org/spreadsheetml/2006/main" count="1859" uniqueCount="1132">
  <si>
    <t>Title</t>
  </si>
  <si>
    <t>EU4+UK Angelman Syndrome Treatment Centres and KOLs — Mapping &amp; Tiering</t>
  </si>
  <si>
    <t>Prepared for</t>
  </si>
  <si>
    <t>Medical Affairs workstream — ION582 / obudanersen (Ionis Pharmaceuticals) in Angelman syndrome (AS)</t>
  </si>
  <si>
    <t>Geographies</t>
  </si>
  <si>
    <t>EU4+UK: Germany, France, Italy, Spain, United Kingdom. Out of scope (not mapped): EU-rest and Europe-rest — note Poland hosts REVEAL and Aspire sites. The template's Europe-rest tag also lists GB; here the UK is treated as part of EU4+UK only.</t>
  </si>
  <si>
    <t>Date compiled</t>
  </si>
  <si>
    <t>2026-10-14 (public sources searched 14 Oct 2026)</t>
  </si>
  <si>
    <t>Compiled by</t>
  </si>
  <si>
    <t>Microsoft Copilot (model tag: Copilot.Sonnet5.5) for Ian Pepper — template: PROMPT_KOL_Centre_Map_v2</t>
  </si>
  <si>
    <t>Method</t>
  </si>
  <si>
    <t>Cross-referenced from public sources: trial registries (ClinicalTrials.gov mirrors, CTIS, HRA, AP-HP), sponsor communications, ASF clinic network pages, national guideline (HAS PNDS), peer-reviewed papers, ERN member lists (EpiCARE, Orphanet ITHACA), national patient-association lists. No pharma-supplied or paid-database data. Every KOL and centre is tied to a named source (see Sources_Caveats). No names were invented; gaps are marked 'Not publicly identified — verify locally'.</t>
  </si>
  <si>
    <t>Asset status snapshot (14 Oct 2026)</t>
  </si>
  <si>
    <t>ION582 = obudanersen (Ionis; ASO against UBE3A-ATS; intrathecal). FDA Breakthrough Therapy designation (9 Sep 2025); FDA + EMA Orphan, FDA Fast Track / Rare Pediatric designations. Phase 3 REVEAL (NCT06914609; EU CT 2024-519711-33-01): randomised, double-blind, ~158 participants, 80 mg vs control (amended Dec 2025 from three arms); Cohort 1 (pivotal, age 2–&lt;18 y) completed enrolment with 136 participants (6 Jul 2026); Cohort 2 (adults 18–≤50 y) still screening (expected completion Q3 2026); topline expected 2H 2027. EU control arm uses a skin-prick sham procedure. First EU REVEAL sites: LMU München (DE) and Parc Taulí Sabadell (ES) (Apr 2026); further sites planned in DE, IT, PL, ES; UK sites: Oxford and GOSH. Phase 1/2 HALOS (NCT05127226): 71 participants, active-not-recruiting; EU4+UK sites Necker (FR), Pisa (IT), Oxford (UK). CHAMPION (Phase 3 in UPD/imprinting-centre defect) planned. Registry status labels conflict across mirrors (CTIS 'recruiting' vs mirror 'active, not recruiting'; enrolment 156 vs 158) — see Verification_Flags.</t>
  </si>
  <si>
    <t>TAB GUIDE</t>
  </si>
  <si>
    <t>README</t>
  </si>
  <si>
    <t>Scope, five signal pillars, tier definitions (centres and KOLs), caveats, gap-fill method, how-to-use.</t>
  </si>
  <si>
    <t>Country_Centres</t>
  </si>
  <si>
    <t>Master flat table: 41 centres (Tier 1–3), one row each; 13 columns; frozen header and autofilter. Tier 4 not enumerated (not requested).</t>
  </si>
  <si>
    <t>KOL_Roster</t>
  </si>
  <si>
    <t>75 named KOLs with role/signal, pillar flags, engagement priority and score-driven KOL Tier (columns K–R hold the scoring; tier is formula-driven).</t>
  </si>
  <si>
    <t>Tier_Counts</t>
  </si>
  <si>
    <t>Centre and KOL matrices (country × tier) and cross-cuts — all counts are formulas on the flat tables.</t>
  </si>
  <si>
    <t>Infrastructure</t>
  </si>
  <si>
    <t>AS-specific diagnostic / assessment / treatment / rehabilitation / future-state requirements mapped to centre tiers, with the ION582 asset overlay.</t>
  </si>
  <si>
    <t>Sources_Caveats</t>
  </si>
  <si>
    <t>Authoritative sources with clickable URLs / DOI / PMID / NCT, plus data-quality caveats.</t>
  </si>
  <si>
    <t>Verification_Flags</t>
  </si>
  <si>
    <t>Adversarial QA pass. Flagged source cells are highlighted red (#FFC7CE / #9C0006) on their home sheets — flagged, not auto-corrected.</t>
  </si>
  <si>
    <t>THE FIVE SIGNAL PILLARS CHOSEN FOR ANGELMAN SYNDROME</t>
  </si>
  <si>
    <t>P1 — Guideline-author signal</t>
  </si>
  <si>
    <t>Internationally: Duis et al. 2022, 'A multidisciplinary approach and consensus statement to establish standards of care for Angelman syndrome', Mol Genet Genomic Med 10(3):e1843 (DOI 10.1002/mgg3.1843; ~42 named authors). From the affiliation list retrieved, European authors sit in Erasmus MC (NL) and Queen Fabiola Children's Hospital (BE) — no EU4+UK author identified (list partly truncated; verify). SUBSTITUTION (documented per template): country-level guidelines are used for regional tiering — France: PNDS Angelman (HAS portal, Nov 2021; coordinator Dr Delphine Héron; not validated by HAS). No equivalent DE/IT/ES/UK national guideline was found; UK Manchester lead self-reports guideline involvement (unverified).</t>
  </si>
  <si>
    <t>P2 — Publication-authorship signal</t>
  </si>
  <si>
    <t>AS-specific peer-reviewed and trial authorship, last ~5 years, incl. this asset and competitors: ION582 (HALOS NCT05127226, REVEAL NCT06914609); GTX-102/apazunersen, Ultragenyx (Phase 1/2 and Aspire NCT06617429); rugonersen, Roche → Oak Hill Bio (TANGELO NCT04428281, Hipp et al., Nat Med 2025, PMID 40646322; Phase 3 BEACON); alogabat, Roche (Phase 2a). Key EU4+UK papers: Neuropediatrics 2025 (Munich/Leipzig); JADD 2025 (Munich); Epilepsia Open 2024 (Bambino Gesù); IReAS EJMG 2026 and RISA JCM 2024 (Italy); A-MANECE Orphanet J Rare Dis 2018 (Puerta de Hierro); Front Psychiatry 2019 (Birmingham).</t>
  </si>
  <si>
    <t>P3 — Registry / natural-history / trial-network signal</t>
  </si>
  <si>
    <t>AS has no single flagship registry. Substituted by: national natural-history and registry studies — FAST UK NatHis (Oxford, NCT05100810), FAST Spain NH (Puerta de Hierro / Parc Taulí, NCT06115109), German AS online register (Leipzig), Italian RISA (FROM Bergamo, NCT03650569; enrolment closed) and IReAS (14 referral centres), UK Manchester AS Register — plus the ION582 trial network (HALOS/REVEAL) and the ASF Clinic Network / LADDER. Coordinator = leads a registry or national study; Site = participating centre.</t>
  </si>
  <si>
    <t>P4 — Reference-network signal</t>
  </si>
  <si>
    <t>Primary: ERN-ITHACA (rare malformation syndromes, intellectual and other neurodevelopmental disorders; 71 centres) — AS falls here. Secondary: ERN-EpiCARE (AS epilepsy ≈ 80–90%) and ERN-RND. National equivalents: France CRMR/DéfiScience (Déficiences intellectuelles de causes rares); Italy IRCCS / national rare-disease centre list; Spain CSUR; Germany Zentrum für Seltene Erkrankungen (ZSE) B-centre / SPZ / MZEB; ASF-recognised clinics (foundation 'Centre of Excellence' analogue). UK: N/A (post-Brexit; use NHS specialist-clinic status). ERN membership of several AS clinics (LMU, Leipzig, Parc Taulí, Puerta de Hierro, Stella Maris, Medea) could NOT be confirmed from retrieved lists — marked 'Unconfirmed'.</t>
  </si>
  <si>
    <t>P5 — Disease-programme signal</t>
  </si>
  <si>
    <t>A dedicated Angelman clinic / multidisciplinary AS service: ASF clinics (Munich, Leipzig, Aachen, Parc Taulí), Manchester AS Clinic (UK's only specialist AS clinic), and AS-specific units (e.g. Stella Maris Developmental Neurology). 'Partial' = rare-neurodevelopment / epilepsy service without an AS-dedicated clinic.</t>
  </si>
  <si>
    <t>CENTRE TIER DEFINITIONS</t>
  </si>
  <si>
    <t>Tier 1 — Anchor / reference</t>
  </si>
  <si>
    <t>Hosts a P1 guideline author or a P3 registry coordinator, AND is a P4 reference-network HCP (or national equivalent), AND carries the P2 publication signal (disease-, asset- or competitor-trial authorship in the last ~5 years). Role: first-wave KOL engagement; advisory-board core; RWE and observational lead candidates; likely evidence partners.  AS CALIBRATION (documented): because no P1 international author sits in EU4+UK, Tier 1 is reached via [P3 coordinator OR lead national clinic/trial hub with pivotal-trial participation OR national P1 guideline (France PNDS)] AND [P4 or national equivalent incl. ASF clinic] AND [P2]. Applied to LMU München, Parc Taulí and Pitié-Salpêtrière — flagged in Verification_Flags.</t>
  </si>
  <si>
    <t>Tier 2 — National referral</t>
  </si>
  <si>
    <t>A P4 HCP with the relevant P5 programme, or a P3 participating site; university hospital with full critical/specialist care and disease-relevant diagnostics; recurring P2 authorship on the relevant literature. Role: second-wave outreach; regional referral hubs.</t>
  </si>
  <si>
    <t>Tier 3 — Tertiary capable</t>
  </si>
  <si>
    <t>National/regional reference centre or large university hospital with the core treatment infrastructure but typically not research-active in the disease. Role: launch-phase distribution; HCP education; not advisory core.</t>
  </si>
  <si>
    <t>Tier 4 — Community / acute presentation</t>
  </si>
  <si>
    <t>Not enumerated (not requested). AS is chronic and care concentrates at specialist clinics and paediatric neurology centres, so the acute-presentation dispersion caveat is omitted. Case-finding / pharmacovigilance for community paediatrics would be addressed through national-society and patient-association channels (Angelman e.V., AngelmanUK, AFSA, OR.S.A., FAST Spain/Angel FOCUS), not individual outreach.</t>
  </si>
  <si>
    <t>KOL TIER DEFINITIONS (score-driven; template Section 3)</t>
  </si>
  <si>
    <t>Scoring criteria (1 / 3 / 5 points per domain)</t>
  </si>
  <si>
    <t>Guideline authorship — 1: contributor to local protocols / co-author of minor or regional guidelines; 3: lead/co-author of national guidelines or contributor to multicentre consensus statements; 5: lead/co-author of international or globally influential guidelines.
Publications — 1: ≥3 publications (any authorship) in relevant peer-reviewed journals; 3: ≥5 publications in reputable journals (last 7 years); 5: ≥5 as first/last author (last 7 years).
Clinical trials — 1: participant or site investigator in local/national trials; 3: national PI or investigator in multi-country/regional trials (last 7 years); 5: lead/site PI in large international or pivotal trials influencing practice/regulation.
Academic appointment — 1: specialist physician / working-group member; 3: senior physician, associate professor, research-group member; 5: department head, research-group leader, emeritus professor.
Society roles — 1: member of local/regional society; 3: committee/board member of a national society; 5: executive leadership in major national/international societies.
Speaker engagement — 1: occasional local/regional speaker; 3: regular invited speaker at national conferences; 5: keynote/plenary at major international congresses.
Awards — 1–2 points depending on calibre.</t>
  </si>
  <si>
    <t>Scoring rules and tier cut-offs</t>
  </si>
  <si>
    <t>Each physician is scored independently on all seven domains using the highest level FULLY supported by retrieved evidence; no inference; where evidence is limited the floor score of 1 is assigned (the template's default) — including Awards (1) and Speaker (1). Total = sum (formula, column R). Tier 1 (Top KOLs): 24–30 points; Tier 2 (Established): 12–23; Tier 3 (Emerging/Local): 0–11. IMPORTANT: scores here are EVIDENCE-FLOOR scores from web sources only (no PubMed counts, CVs or congress programmes were pulled), so most KOLs fall in Tier 2/3 and no KOL reaches Tier 1. 'Engagement priority' (column I) is a separate, qualitative field tied to centre tier and ION582 relevance. Re-score after PubMed / congress-abstract / CV enrichment.</t>
  </si>
  <si>
    <t>CRITICAL CAVEATS</t>
  </si>
  <si>
    <t>No EU4+UK international guideline author</t>
  </si>
  <si>
    <t>No EU4+UK author was identified in the Duis 2022 consensus (only Erasmus MC NL and Queen Fabiola BE among European affiliations retrieved). P1 therefore rests on the French PNDS (national) — see Verification_Flags #14.</t>
  </si>
  <si>
    <t>France is not (yet) a REVEAL country</t>
  </si>
  <si>
    <t>Ionis named Germany, Italy, Poland and Spain for EU REVEAL expansion (Apr 2026); France is absent although Necker was a HALOS site. UK has two REVEAL sites (Oxford, GOSH).</t>
  </si>
  <si>
    <t>Competitor read-through</t>
  </si>
  <si>
    <t>GTX-102 (apazunersen) Phase 3 Aspire reportedly missed its primary and key secondary endpoints (2 Sep 2026; single secondary source — verify against the Ultragenyx release). Aspire sites (LMU, Leipzig, UKE, SJD, Parc Taulí, Puerta de Hierro, Virgen del Rocío) are ASO-experienced and may be capacity-available. Rugonersen (Oak Hill Bio) is in Phase 3 BEACON (first participant dosed 28 Jul 2026 per FAST news).</t>
  </si>
  <si>
    <t>Post-Brexit UK</t>
  </si>
  <si>
    <t>P4 = N/A for all UK centres (Manchester founded ERN-ITHACA in 2017 but coordination moved to AP-HP in Nov 2018). Tiered on national specialist-clinic and trial signal. UK Tier 3 not enumerated (no sourced designation).</t>
  </si>
  <si>
    <t>Provenance limits</t>
  </si>
  <si>
    <t>Italian Tier 3 rows rely on a patient-association centre list (OR.S.A.); IReAS participating-centre list (14 centres) is not public; several KOL affiliations are not stated in the source and are marked 'verify'. Conference-presentation evidence was not retrieved for any KOL.</t>
  </si>
  <si>
    <t>KOL gap-fill methodology</t>
  </si>
  <si>
    <t>Order followed: (a) P2 senior/corresponding authors on AS or competitor-trial papers (Neuropediatrics 2025, A-MANECE, Epilepsia Open 2024, IReAS, RISA, TANGELO); (b) reference-network coordinators (ERN-ITHACA, EpiCARE, CRMR Lyon/Lille, SEGCD contacts); (c) national patient-association and ASF-clinic rosters (OR.S.A., ASF clinics, AngelmanUK experts, FAST); (d) hospital directories — attempted only where a centre was named (not exhaustive). Where nothing traceable: 'Not publicly identified — verify locally'.</t>
  </si>
  <si>
    <t>KOL minimum (≥15 per country)</t>
  </si>
  <si>
    <t>Met for Germany (15), Italy (22), Spain (15). NOT met for France (9) and United Kingdom (14) despite searching — shortfall disclosed rather than padded; see Verification_Flags #17.</t>
  </si>
  <si>
    <t>HOW TO USE</t>
  </si>
  <si>
    <t>Field deployment</t>
  </si>
  <si>
    <t>Sort Country_Centres by Tier ascending then Country; start with the nine Tier 1 centres. For ION582 sequencing: (1) active/near-active REVEAL and HALOS sites (Stella Maris, Oxford, Necker, LMU, Parc Taulí, Besta, Medea, Bambino Gesù, GOSH) for evidence and advisory input; (2) natural-history / registry coordinators (Oxford, Puerta de Hierro, Leipzig, Manchester, RISA/IReAS) for RWE; (3) ASF clinics and CRMR/ERN partners for referral pathways and launch readiness.</t>
  </si>
  <si>
    <t>Trial-site shortlist</t>
  </si>
  <si>
    <t>Filter Country_Centres: P3 flag begins 'Coordinator' or 'Site' AND P2 flag contains 'trial' (Yes — ION582 trial / Yes — competitor trial). Competitor-trial sites (Aspire, TANGELO, GTX-102 Phase 1/2) are trial-ready but check confidentiality and capacity.</t>
  </si>
  <si>
    <t>Verification reminder</t>
  </si>
  <si>
    <t>Before any outreach re-verify: current affiliation, current trial activity (CTIS / ClinicalTrials.gov), ERN membership (EC ERN Service Directory) and declared interests. Red-highlighted cells are items needing your decision.</t>
  </si>
  <si>
    <t>Colour legend</t>
  </si>
  <si>
    <t>Navy = section; blue = table header; red fill = verification flag (not auto-corrected).</t>
  </si>
  <si>
    <t>Country</t>
  </si>
  <si>
    <t>Tier</t>
  </si>
  <si>
    <t>City</t>
  </si>
  <si>
    <t>Centre / Hospital</t>
  </si>
  <si>
    <t>Unit / Department</t>
  </si>
  <si>
    <t>KOL / Lead clinician(s)</t>
  </si>
  <si>
    <t>Role / Affiliation signal</t>
  </si>
  <si>
    <t>P1 — AS guideline author (international / national)</t>
  </si>
  <si>
    <t>P2 — AS publication / trial author (5y): disease / ION582 / competitor</t>
  </si>
  <si>
    <t>P3 — Registry / natural-history / trial network (coord / site)</t>
  </si>
  <si>
    <t>P4 — ERN / national reference HCP</t>
  </si>
  <si>
    <t>P5 — Angelman programme / clinic</t>
  </si>
  <si>
    <t>Notes</t>
  </si>
  <si>
    <t>Germany</t>
  </si>
  <si>
    <t>München</t>
  </si>
  <si>
    <t>LMU Klinikum — Dr. von Haunersches Kinderspital</t>
  </si>
  <si>
    <t>iSPZ Hauner — Angelman Zentrum München (AZM); Pediatric Neurology, Developmental Medicine &amp; Social Pediatrics</t>
  </si>
  <si>
    <t>Dr. Christine Makowski (AZM lead); Dr. Lena Manssen; PD Dr. Cornelia von Hagen; Heike Weigand; Ingo Borggraefe</t>
  </si>
  <si>
    <t>First German AS centre (2019/20); ASF-recognised clinic and member of the LADDER network; first EU REVEAL site activated (LMU, Apr 2026); Haunersche Kinderklinik is an Aspire (GTX-102) site; co-authors of Neuropediatrics 2025 AS review and JADD 2025 family-impact study.</t>
  </si>
  <si>
    <t>No (no EU4+UK author identified in the Duis 2022 consensus affiliation list retrieved)</t>
  </si>
  <si>
    <t>Yes — disease (Neuropediatrics 2025; J Autism Dev Disord 2025); Yes — ION582 trial (REVEAL EU site); Yes — competitor trial (GTX-102 Aspire)</t>
  </si>
  <si>
    <t>Site — LADDER network / clinical-data hub; REVEAL and Aspire site (no registry coordinator role)</t>
  </si>
  <si>
    <t>Unconfirmed — ERN-ITHACA / EpiCARE membership not found; national equivalent: ASF clinic</t>
  </si>
  <si>
    <t>Yes</t>
  </si>
  <si>
    <t>Tier 1 via AS calibration (lead clinical hub + pivotal-trial site; see README). Affiliation of Makowski moved from München Klinik Schwabing / kbo (2021 flyer) to LMU iSPZ Hauner (current LMU and ASF pages). Paediatric 0–18 y; adults referred to a collaborating clinic (AZA Aachen).</t>
  </si>
  <si>
    <t>Leipzig</t>
  </si>
  <si>
    <t>Universitätsklinikum Leipzig</t>
  </si>
  <si>
    <t>Angelman Zentrum Leipzig (AZL): SPZ / Neuropädiatrie (Klinik für Kinder- und Jugendmedizin) + Institut für Humangenetik</t>
  </si>
  <si>
    <t>Dr. Janina Gburek-Augustat (AZL clinic lead); Prof. Andreas Merkenschlager; Prof. Johannes Lemke; Dr. Ilona Krey; Dr. Eckehard Schumann</t>
  </si>
  <si>
    <t>AZL opened Dec 2022 (third German AS centre); Human Genetics hosts the German AS online patient register (contacts Lemke, Krey); integrated B-centre of the University Rare Disease Centre Leipzig (se-atlas); Aspire site (University of Leipzig); co-authors of Neuropediatrics 2025 AS review.</t>
  </si>
  <si>
    <t>Yes — disease (Neuropediatrics 2025); Yes — competitor trial (GTX-102 Aspire)</t>
  </si>
  <si>
    <t>Coordinator — German Angelman online register (University of Leipzig Medical Center); Aspire site</t>
  </si>
  <si>
    <t>Qualified — national equivalent: integrated B-centre, University Rare Disease Centre Leipzig (se-atlas); ERN membership not confirmed</t>
  </si>
  <si>
    <t>Not listed as an EU REVEAL site in the April 2026 Ionis letter (Germany expansion planned — verify). Register enrolment mechanics and site count not public.</t>
  </si>
  <si>
    <t>Aachen</t>
  </si>
  <si>
    <t>Uniklinik RWTH Aachen</t>
  </si>
  <si>
    <t>MZEB — Angelman Zentrum Aachen (AZA, adults)</t>
  </si>
  <si>
    <t>Dr. Andrea Maier (AZA lead, Neurology)</t>
  </si>
  <si>
    <t>First adult-focused AS centre in Germany (founded 2021 with Angelman e.V.); ASF-recognised clinic; works with AZM so new therapies can be applied quickly.</t>
  </si>
  <si>
    <t>No</t>
  </si>
  <si>
    <t>No (no AS publication or trial signal retrieved)</t>
  </si>
  <si>
    <t>Unconfirmed — MZEB model for adults with intellectual/multiple disabilities; national equivalent: ASF clinic</t>
  </si>
  <si>
    <t>Key for adult cohort (REVEAL Cohort 2, 18–≤50 y) and post-paediatric transition. Research activity: 'current studies' page referenced but not retrieved.</t>
  </si>
  <si>
    <t>Hamburg</t>
  </si>
  <si>
    <t>Universitätsklinikum Hamburg-Eppendorf (UKE)</t>
  </si>
  <si>
    <t>Klinik für Kinder- und Jugendmedizin (Kinder-UKE); Institute of Human Genetics (genetic-counselling HCP)</t>
  </si>
  <si>
    <t>Prof. Ania C. Muntau (Director, Kinderklinik) — Not publicly identified — verify locally (Aspire investigator)</t>
  </si>
  <si>
    <t>Aspire (GTX-102) Phase 3 site; ERN-ITHACA HCP (genetic counselling, Orphanet list updated Mar 2022).</t>
  </si>
  <si>
    <t>Yes — competitor trial (GTX-102 Aspire)</t>
  </si>
  <si>
    <t>Site — Aspire (competitor Phase 3)</t>
  </si>
  <si>
    <t>Yes — ERN-ITHACA HCP (genetic counselling; Orphanet Mar-2022 — verify current)</t>
  </si>
  <si>
    <t>Partial</t>
  </si>
  <si>
    <t>Muntau is named as clinic director with a rare-disease research profile; her role in Aspire is not confirmed. Not a REVEAL site in public sources.</t>
  </si>
  <si>
    <t>Tübingen</t>
  </si>
  <si>
    <t>Universitätsklinikum Tübingen</t>
  </si>
  <si>
    <t>Epilepsy Dept (ERN-EpiCARE); Institut für Medizinische Genetik und angewandte Genomik (ERN-ITHACA HCP)</t>
  </si>
  <si>
    <t>Not publicly identified — verify locally</t>
  </si>
  <si>
    <t>Network membership only: EpiCARE member list and Orphanet ITHACA list.</t>
  </si>
  <si>
    <t>Yes — ERN-EpiCARE / ERN-ITHACA</t>
  </si>
  <si>
    <t>No AS-specific signal retrieved; tertiary infrastructure only (AS epilepsy ≈ 80–90%).</t>
  </si>
  <si>
    <t>Erlangen</t>
  </si>
  <si>
    <t>Universitätsklinikum Erlangen</t>
  </si>
  <si>
    <t>Epilepsy Center (ERN-EpiCARE); ZSE Erlangen — Zentrum für Seltene Entwicklungsstörungen (ERN-ITHACA)</t>
  </si>
  <si>
    <t>Network membership only.</t>
  </si>
  <si>
    <t>No AS-specific signal retrieved.</t>
  </si>
  <si>
    <t>Bonn</t>
  </si>
  <si>
    <t>Universitätsklinikum Bonn</t>
  </si>
  <si>
    <t>Department of Epileptology (ERN-EpiCARE)</t>
  </si>
  <si>
    <t>Yes — ERN-EpiCARE</t>
  </si>
  <si>
    <t>Freiburg</t>
  </si>
  <si>
    <t>Universitätsklinikum Freiburg</t>
  </si>
  <si>
    <t>Epilepsy Centre, Neurocenter (ERN-EpiCARE)</t>
  </si>
  <si>
    <t>France</t>
  </si>
  <si>
    <t>Paris</t>
  </si>
  <si>
    <t>AP-HP — Hôpital Necker-Enfants Malades</t>
  </si>
  <si>
    <t>Neuropédiatrie; Pediatric Radiology (EYEANGEL)</t>
  </si>
  <si>
    <t>Nadia Bahi-Buisson (HALOS coordinating investigator; FAST Scientific Advisory Board); Prof. Nathalie Boddaert (EYEANGEL lead)</t>
  </si>
  <si>
    <t>HALOS (ION582 Phase 1/2) French site — coordinating investigator Bahi-Buisson (AP-HP registry); first EU HALOS patient enrolled in France (2023 press); EYEANGEL AS eye-tracking study (FAST France-funded); ERN-EpiCARE full member.</t>
  </si>
  <si>
    <t>No (national PNDS was authored by the Pitié-Salpêtrière coordinating centre)</t>
  </si>
  <si>
    <t>Yes — ION582 trial (HALOS); Yes — disease (EYEANGEL AS eye-tracking study, AP-HP)</t>
  </si>
  <si>
    <t>Coordinator — HALOS French coordinating investigator; EYEANGEL</t>
  </si>
  <si>
    <t>Yes — ERN-EpiCARE full member (CRMR / DéfiScience status to verify)</t>
  </si>
  <si>
    <t>HALOS is closed to inclusions (AP-HP registry; trial 'active, not recruiting'). France is NOT among the EU countries named for REVEAL activation (DE, IT, PL, ES — Apr 2026) — gap for ION582 Phase 3.</t>
  </si>
  <si>
    <t>AP-HP Sorbonne Université — Hôpital Pitié-Salpêtrière</t>
  </si>
  <si>
    <t>Centre de Référence Coordonnateur « Déficiences Intellectuelles de causes rares » (DéfiScience); Génétique</t>
  </si>
  <si>
    <t>Dr. Delphine Héron (coordinator; PNDS Angelman)</t>
  </si>
  <si>
    <t>Authored the national PNDS Angelman (Nov 2021) and its argumentaire; coordinating centre for 12 reference + 11 competence centres of the DI-rare-causes network; ERN-EpiCARE éPiRaReS consortium member.</t>
  </si>
  <si>
    <t>Yes — national guideline (PNDS Angelman, Nov 2021; not validated by HAS)</t>
  </si>
  <si>
    <t>Yes — disease (PNDS 2021 + argumentaire); AS peer-reviewed output not verified</t>
  </si>
  <si>
    <t>No (no AS registry / trial role retrieved)</t>
  </si>
  <si>
    <t>Yes — national reference centre (CRMR coordinating centre); EpiCARE éPiRaReS consortium</t>
  </si>
  <si>
    <t>Tier 1 via national P1 equivalent (no P3 coordinator). The PNDS and a national 'Angelman emergency card' exist. Not a trial site in retrieved sources.</t>
  </si>
  <si>
    <t>AP-HP — Hôpital Robert-Debré</t>
  </si>
  <si>
    <t>Clinical Genetics; ERN-ITHACA Coordinating Centre; EpiCARE éPiRaReS consortium</t>
  </si>
  <si>
    <t>Prof. Alain Verloes (ERN-ITHACA coordinator)</t>
  </si>
  <si>
    <t>Hosts the ERN-ITHACA coordinating centre (coordination moved from Manchester to AP-HP in Nov 2018); EpiCARE éPiRaReS consortium.</t>
  </si>
  <si>
    <t>No (no AS-specific publication or trial retrieved)</t>
  </si>
  <si>
    <t>Yes — ERN-ITHACA coordinating centre</t>
  </si>
  <si>
    <t>Network-level partner for cross-border case discussion (CPMS); not an AS clinic.</t>
  </si>
  <si>
    <t>Bron (Lyon)</t>
  </si>
  <si>
    <t>Hospices Civils de Lyon — Hôpital Femme Mère Enfant</t>
  </si>
  <si>
    <t>Centre de référence constitutif DI de causes rares (CRDI); Epilepsy Dept</t>
  </si>
  <si>
    <t>Pr Vincent des Portes; Dr Aurore Curie; Dr Christelle Rougeot-Jung</t>
  </si>
  <si>
    <t>Reference centre (relabelled 2023) in DéfiScience; ERN-ITHACA member; EpiCARE member (Lyon epilepsy departments).</t>
  </si>
  <si>
    <t>Yes — ERN-ITHACA member; ERN-EpiCARE</t>
  </si>
  <si>
    <t>Covers all rare-cause intellectual disability; AS-specific programme not confirmed. Prof. Arzimanoglou formerly led Lyon paediatric epileptology (to 2023) — now Barcelona.</t>
  </si>
  <si>
    <t>Lille</t>
  </si>
  <si>
    <t>CHU Lille</t>
  </si>
  <si>
    <t>Centre de référence DI de causes rares (Hôpital Jeanne de Flandre / Calmette, Paul Boulanger) ; Centre de Référence des Épilepsies Rares</t>
  </si>
  <si>
    <t>Jamal Ghoumid; Florence Petit (centre genetics team)</t>
  </si>
  <si>
    <t>Centre lists Angelman syndrome among its covered conditions and a PNDS Angelman reference; EpiCARE member (Lille rare epilepsies).</t>
  </si>
  <si>
    <t>No (no AS-specific publication retrieved)</t>
  </si>
  <si>
    <t>Yes — national reference centre (CRMR); ERN-EpiCARE</t>
  </si>
  <si>
    <t>Individual AS signal for named clinicians not verified — centre-level listing only.</t>
  </si>
  <si>
    <t>Marseille</t>
  </si>
  <si>
    <t>AP-HM — Hôpitaux Universitaires de Marseille</t>
  </si>
  <si>
    <t>Epilepsy (ERN-EpiCARE)</t>
  </si>
  <si>
    <t>Strasbourg</t>
  </si>
  <si>
    <t>CHRU Strasbourg — Hautepierre</t>
  </si>
  <si>
    <t>Epilepsy (ERN-EpiCARE, EGEE consortium)</t>
  </si>
  <si>
    <t>Nancy</t>
  </si>
  <si>
    <t>CHRU Nancy</t>
  </si>
  <si>
    <t>Italy</t>
  </si>
  <si>
    <t>Pisa (Calambrone)</t>
  </si>
  <si>
    <t>IRCCS Fondazione Stella Maris (with AOU Pisana Phase 1 Unit)</t>
  </si>
  <si>
    <t>Unità Operativa di Neurologia dello Sviluppo</t>
  </si>
  <si>
    <t>Prof. Roberta Battini (Director; HALOS Italian PI)</t>
  </si>
  <si>
    <t>Sole Italian HALOS site (first EU patients dosed in Pisa; PI Battini); Italian REVEAL site; Battini is co-author of the IReAS national registry paper; hosted national REVEAL family meeting (23 May 2026).</t>
  </si>
  <si>
    <t>Yes — ION582 trial (HALOS, REVEAL); Yes — disease (IReAS EJMG 2026)</t>
  </si>
  <si>
    <t>Coordinator — HALOS Italian PI; IReAS participating centre/author</t>
  </si>
  <si>
    <t>Qualified — IRCCS national designation; ERN membership not confirmed</t>
  </si>
  <si>
    <t>Tier 1 via AS calibration (national lead investigator for ION582 + registry authorship). Most advanced ION582 experience in Italy.</t>
  </si>
  <si>
    <t>Roma</t>
  </si>
  <si>
    <t>Ospedale Pediatrico Bambino Gesù IRCCS</t>
  </si>
  <si>
    <t>Neurology, Epilepsy &amp; Movement Disorders Unit; Neurorehabilitation</t>
  </si>
  <si>
    <t>Dr. Nicola Pietrafusa (REVEAL); Nicola Specchio; Luca De Palma; Michelina Armando; Federico Vigevano</t>
  </si>
  <si>
    <t>Italian REVEAL site (Pietrafusa); ERN-EpiCARE full member; AS NCSE cannabidiol paper (Epilepsia Open 2024); IReAS co-author (Armando); affiliation listed on the rugonersen TANGELO Phase 1 (Nature Medicine 2025).</t>
  </si>
  <si>
    <t>Yes — disease (Epilepsia Open 2024); Yes — ION582 trial (REVEAL); Yes — competitor trial (rugonersen TANGELO — affiliation per Nature Index)</t>
  </si>
  <si>
    <t>Site — REVEAL; IReAS</t>
  </si>
  <si>
    <t>Yes — ERN-EpiCARE full member</t>
  </si>
  <si>
    <t>Strong epilepsy-led AS expertise; competitor-trial experience (verify TANGELO investigator identity).</t>
  </si>
  <si>
    <t>Milano</t>
  </si>
  <si>
    <t>Fondazione IRCCS Istituto Neurologico Carlo Besta</t>
  </si>
  <si>
    <t>Child neurology / epilepsy (Besta–Niguarda–San Paolo EpiCARE consortium)</t>
  </si>
  <si>
    <t>Dr. Stefano D'Arrigo</t>
  </si>
  <si>
    <t>Italian REVEAL site (named in Italian trial communication); ERN-EpiCARE consortium member.</t>
  </si>
  <si>
    <t>Yes — ION582 trial (REVEAL)</t>
  </si>
  <si>
    <t>Site — REVEAL</t>
  </si>
  <si>
    <t>Yes — ERN-EpiCARE (consortium)</t>
  </si>
  <si>
    <t>Site activation status to be confirmed on ClinicalTrials.gov / CTIS.</t>
  </si>
  <si>
    <t>Conegliano / Treviso</t>
  </si>
  <si>
    <t>IRCCS Eugenio Medea</t>
  </si>
  <si>
    <t>Epilepsy and Clinical Neurophysiology Unit</t>
  </si>
  <si>
    <t>Dr. Alberto Danieli; Paolo Bonanni (senior authors)</t>
  </si>
  <si>
    <t>Italian REVEAL site (Danieli); AS high-density-EEG cortical-excitability study (29 AS participants; medRxiv Mar 2026 preprint).</t>
  </si>
  <si>
    <t>Yes — disease (medRxiv 2026 preprint); Yes — ION582 trial (REVEAL)</t>
  </si>
  <si>
    <t>Unconfirmed — ERN membership not found; IRCCS designation</t>
  </si>
  <si>
    <t>Preprint not peer-reviewed.</t>
  </si>
  <si>
    <t>Genova</t>
  </si>
  <si>
    <t>IRCCS Istituto Giannina Gaslini</t>
  </si>
  <si>
    <t>Neuropsichiatria infantile (IReAS participant — author affiliation to verify)</t>
  </si>
  <si>
    <t>Edvige Veneselli (IReAS co-author; affiliation to verify)</t>
  </si>
  <si>
    <t>ERN-EpiCARE full member; co-author of IReAS national registry paper (EJMG 2026).</t>
  </si>
  <si>
    <t>Yes — disease (IReAS EJMG 2026)</t>
  </si>
  <si>
    <t>Site — IReAS (qualified)</t>
  </si>
  <si>
    <t>IReAS 14-centre list not public; Gaslini participation inferred from author list — verify.</t>
  </si>
  <si>
    <t>IRCCS Istituto Auxologico Italiano</t>
  </si>
  <si>
    <t>Genetica clinica e Laboratorio di Biologia Molecolare</t>
  </si>
  <si>
    <t>Silvia Russo</t>
  </si>
  <si>
    <t>Listed on the OR.S.A. national referral-centre list; Russo is an IReAS co-author.</t>
  </si>
  <si>
    <t>Site — IReAS (author)</t>
  </si>
  <si>
    <t>Unconfirmed — IRCCS designation</t>
  </si>
  <si>
    <t>Clinical genetics + molecular lab: diagnostic anchor rather than treatment site.</t>
  </si>
  <si>
    <t>San Fermo della Battaglia (Como)</t>
  </si>
  <si>
    <t>ASST Lariana — Ospedale Sant'Anna</t>
  </si>
  <si>
    <t>UOC Pediatria</t>
  </si>
  <si>
    <t>Dr. Angelo Selicorni</t>
  </si>
  <si>
    <t>OR.S.A. patient-association referral-centre list.</t>
  </si>
  <si>
    <t>Unconfirmed</t>
  </si>
  <si>
    <t>Provenance: patient-organisation list; no other AS signal retrieved.</t>
  </si>
  <si>
    <t>Brescia</t>
  </si>
  <si>
    <t>ASST Spedali Civili di Brescia</t>
  </si>
  <si>
    <t>Neuropsichiatria Infantile</t>
  </si>
  <si>
    <t>Prof. Elisa Fazzi</t>
  </si>
  <si>
    <t>OR.S.A. referral-centre list.</t>
  </si>
  <si>
    <t>Provenance: patient-organisation list.</t>
  </si>
  <si>
    <t>Ospedale Fatebenefratelli e Oftalmico</t>
  </si>
  <si>
    <t>Neurologia Pediatrica — CREI (Centro Regionale di Epilettologia Infantile)</t>
  </si>
  <si>
    <t>Dr. Antonino Romeo</t>
  </si>
  <si>
    <t>Novara</t>
  </si>
  <si>
    <t>AOU Maggiore della Carità</t>
  </si>
  <si>
    <t>Dr. Maurizio Viri</t>
  </si>
  <si>
    <t>Alessandria</t>
  </si>
  <si>
    <t>Ospedale Infantile « C. Arrigo »</t>
  </si>
  <si>
    <t>Neuropsichiatria Infantile, Dipartimento Pediatrico</t>
  </si>
  <si>
    <t>Dr. Maurizio Cremonte</t>
  </si>
  <si>
    <t>Firenze</t>
  </si>
  <si>
    <t>AOU Meyer IRCCS</t>
  </si>
  <si>
    <t>Neurologia Pediatrica (ERN-EpiCARE)</t>
  </si>
  <si>
    <t>Bologna</t>
  </si>
  <si>
    <t>IRCCS Istituto delle Scienze Neurologiche — Ospedale Bellaria (AUSL Bologna)</t>
  </si>
  <si>
    <t>Pavia</t>
  </si>
  <si>
    <t>Fondazione IRCCS Istituto Neurologico Nazionale Casimiro Mondino</t>
  </si>
  <si>
    <t>Verona</t>
  </si>
  <si>
    <t>AOUI Verona</t>
  </si>
  <si>
    <t>UOC Neuropsichiatria Infantile (ERN-EpiCARE)</t>
  </si>
  <si>
    <t>Spain</t>
  </si>
  <si>
    <t>Sabadell (Barcelona)</t>
  </si>
  <si>
    <t>Corporació Sanitària Parc Taulí — Hospital de Sabadell</t>
  </si>
  <si>
    <t>ASF Clinic Parc Taulí; Neuropaediatrics / Genetics; Institut d'Investigació i Innovació Parc Taulí (I3PT)</t>
  </si>
  <si>
    <t>Dr. Ana Roche (clinic head; co-head neurodevelopmental research group); Dr. Ariadna Ramírez Mallafré (FAST Spain natural-history PI)</t>
  </si>
  <si>
    <t>ASF clinic for paediatric and adult patients; first EU REVEAL site activated (Apr 2026); enrolled patients in GTX-102 Phase 1/2 and Aspire; site in FAST Spain natural-history study (NCT06115109); I3PT affiliation on the rugonersen TANGELO paper; Roche PI of a FAST Spain AS microbiome/biomarker project (2026–29).</t>
  </si>
  <si>
    <t>Yes — disease (TANGELO co-author; FAST Spain NH); Yes — ION582 trial (REVEAL); Yes — competitor trial (GTX-102 Phase 1/2 + Aspire; rugonersen TANGELO)</t>
  </si>
  <si>
    <t>Site — FAST Spain natural-history PI site (sponsor: Puerta de Hierro); REVEAL / Aspire / TANGELO</t>
  </si>
  <si>
    <t>Unconfirmed — ERN membership not found; national equivalent: ASF clinic</t>
  </si>
  <si>
    <t>Tier 1 via AS calibration (lead Spanish clinic hub + first EU pivotal site). Highest-value Spanish engagement.</t>
  </si>
  <si>
    <t>Majadahonda (Madrid)</t>
  </si>
  <si>
    <t>Hospital Universitario Puerta de Hierro Majadahonda</t>
  </si>
  <si>
    <t>Clinical Pharmacology; Paediatrics; Neurophysiology</t>
  </si>
  <si>
    <t>Dr. Belén Ruiz-Antorán (FAST Spain NH coordinator; A-MANECE first author); Aránzazu Sancho-López; Cristina Avendaño-Solá</t>
  </si>
  <si>
    <t>Sponsor/coordinator of the FAST Spain natural-history study (NCT06115109, 2 sites); ran the A-MANECE minocycline RCT (n=32; Orphanet J Rare Dis 2018); Aspire site.</t>
  </si>
  <si>
    <t>Yes — disease (A-MANECE RCT 2018); Yes — competitor trial (GTX-102 Aspire)</t>
  </si>
  <si>
    <t>Coordinator — FAST Spain natural-history study; Aspire site</t>
  </si>
  <si>
    <t>Unconfirmed — ERN membership not found</t>
  </si>
  <si>
    <t>Tier 1 via AS calibration (national natural-history coordinator). Investigator-initiated research culture.</t>
  </si>
  <si>
    <t>Esplugues de Llobregat (Barcelona)</t>
  </si>
  <si>
    <t>Hospital Sant Joan de Déu Barcelona</t>
  </si>
  <si>
    <t>Neurology; Instituto Pediátrico de Enfermedades Raras; Epilepsy Program; XUEC cognitive-behavioural genetic diseases</t>
  </si>
  <si>
    <t>Dr. Mercedes Serrano; Antonio Martínez Monseny; Francesc Palau; Prof. Alexis Arzimanoglou (EpiCARE coordinator)</t>
  </si>
  <si>
    <t>Aspire (GTX-102) site; Serrano is co-author of the rugonersen TANGELO Phase 1 (Nature Medicine 2025); accreditations: ERN-RND, EpiCARE, MetabERN, EURO-NMD, CRANIO, RITA; CSUR reference unit; SEGCD lists Angelman among institute interest areas.</t>
  </si>
  <si>
    <t>Yes — disease (TANGELO co-author); Yes — competitor trial (GTX-102 Aspire; rugonersen TANGELO)</t>
  </si>
  <si>
    <t>Site — Aspire; TANGELO</t>
  </si>
  <si>
    <t>Yes — ERN-RND / ERN-EpiCARE (ITHACA not listed on SJD page)</t>
  </si>
  <si>
    <t>REVEAL activation at SJD not confirmed (Spain expansion planned — verify).</t>
  </si>
  <si>
    <t>Sevilla</t>
  </si>
  <si>
    <t>Hospital Universitario Virgen del Rocío</t>
  </si>
  <si>
    <t>Pediatrics &amp; Specific Areas / Neuropediatrics</t>
  </si>
  <si>
    <t>Aspire (GTX-102) site; affiliation listed (1 author) on the rugonersen TANGELO paper per Nature Index; CSUR units incl. movement disorders; ERN-EURO-NMD.</t>
  </si>
  <si>
    <t>Yes — competitor trial (GTX-102 Aspire; rugonersen TANGELO — affiliation per Nature Index)</t>
  </si>
  <si>
    <t>Yes — other ERNs (EURO-NMD); none AS-specific</t>
  </si>
  <si>
    <t>Investigator names for AS not retrieved.</t>
  </si>
  <si>
    <t>Barcelona</t>
  </si>
  <si>
    <t>Hospital Clínic de Barcelona</t>
  </si>
  <si>
    <t>Epilepsy (adults; ERN-EpiCARE; ERN-RND with SJD)</t>
  </si>
  <si>
    <t>Yes — ERN-EpiCARE / ERN-RND</t>
  </si>
  <si>
    <t>Adult transition candidate; no AS-specific signal retrieved.</t>
  </si>
  <si>
    <t>Valencia</t>
  </si>
  <si>
    <t>Hospital Universitari i Politècnic La Fe</t>
  </si>
  <si>
    <t>Yes — ERN-EpiCARE (full/affiliated status to verify)</t>
  </si>
  <si>
    <t>Hospital del Mar — Parc de Salut Mar</t>
  </si>
  <si>
    <t>United Kingdom</t>
  </si>
  <si>
    <t>Manchester</t>
  </si>
  <si>
    <t>Manchester University NHS Foundation Trust — Saint Mary's Hospital</t>
  </si>
  <si>
    <t>Manchester Centre for Genomic Medicine / Manchester Rare Conditions Centre — Angelman Syndrome Clinic</t>
  </si>
  <si>
    <t>Dr. Catherine Breen (clinic lead); Prof. Jill Clayton-Smith; Dr. Dan Hindley; Dr. Eric Taylor</t>
  </si>
  <si>
    <t>UK's only specialist AS clinic (6-monthly, all ages, with AngelmanUK); multidisciplinary team (genetics, neurodisability/epilepsy, SLT, physio, psychology); runs an Angelman Syndrome Register; Manchester founded ERN-ITHACA (2017).</t>
  </si>
  <si>
    <t>Qualified — Clayton-Smith self-reports involvement in AS consensus criteria / management guidelines (authorship unverified)</t>
  </si>
  <si>
    <t>Qualified — AS research and register (specific paper not retrieved)</t>
  </si>
  <si>
    <t>Coordinator — Angelman Syndrome Register (Manchester)</t>
  </si>
  <si>
    <t>N/A (post-Brexit; ERN-ITHACA coordination left Manchester for AP-HP in Nov 2018)</t>
  </si>
  <si>
    <t>Not a REVEAL site (UK sites: Oxford, GOSH). Referral outside England may require funding agreement. Clinic seats limited (3 families per clinic per older page).</t>
  </si>
  <si>
    <t>Oxford</t>
  </si>
  <si>
    <t>University of Oxford / Oxford University Hospitals NHS FT</t>
  </si>
  <si>
    <t>Department of Paediatrics — STRONG group (MDUK Oxford Neuromuscular Centre)</t>
  </si>
  <si>
    <t>Prof. Laurent Servais (CI); Dr. Usha Kini (PI, clinical genetics); Dr. Theodora Markati</t>
  </si>
  <si>
    <t>HALOS UK site; first UK REVEAL site; sponsor/host of FAST UK AS Natural History Study (NCT05100810; 40 participants, recruitment completed Mar 2023, 2-year follow-up).</t>
  </si>
  <si>
    <t>Yes — disease (NatHis); Yes — ION582 trial (HALOS; REVEAL)</t>
  </si>
  <si>
    <t>Coordinator — UK natural-history study; HALOS/REVEAL site</t>
  </si>
  <si>
    <t>N/A (post-Brexit)</t>
  </si>
  <si>
    <t>No dedicated AS clinic confirmed; research-led programme. Natural-history cohort is a ready RWE/comparator asset.</t>
  </si>
  <si>
    <t>London</t>
  </si>
  <si>
    <t>Great Ormond Street Hospital for Children NHS FT</t>
  </si>
  <si>
    <t>Neurology; Clinical Genetics</t>
  </si>
  <si>
    <t>Not publicly identified — verify locally (REVEAL PI); Prof. Helen Cross (EpiCARE founder-lead; GOSH affiliation inferred — verify)</t>
  </si>
  <si>
    <t>Second UK REVEAL site (FAST UK post); GOSH was appointed lead centre of ERN-EpiCARE at its 2017 launch (pre-Brexit).</t>
  </si>
  <si>
    <t>REVEAL activation evidenced only by a FAST UK social-media post — verify on ClinicalTrials.gov / HRA. UK Tier 3 not enumerated: no sourced national designation.</t>
  </si>
  <si>
    <t>KOL</t>
  </si>
  <si>
    <t>Primary affiliation</t>
  </si>
  <si>
    <t>Role / Signal</t>
  </si>
  <si>
    <t>[P1] Guideline author</t>
  </si>
  <si>
    <t>[P3] Registry role</t>
  </si>
  <si>
    <t>Key publications / datasets [P2] (disease, asset and competitor trials)</t>
  </si>
  <si>
    <t>Presentation at international conferences</t>
  </si>
  <si>
    <t>Engagement priority</t>
  </si>
  <si>
    <t>KOL Tier for TOV (formula)</t>
  </si>
  <si>
    <t>Guideline pts</t>
  </si>
  <si>
    <t>Publications pts</t>
  </si>
  <si>
    <t>Clinical-trial pts</t>
  </si>
  <si>
    <t>Academic pts</t>
  </si>
  <si>
    <t>Society pts</t>
  </si>
  <si>
    <t>Speaker pts</t>
  </si>
  <si>
    <t>Award pts</t>
  </si>
  <si>
    <t>Total score (formula)</t>
  </si>
  <si>
    <t>Evidence sources</t>
  </si>
  <si>
    <t>Dr. Christine Makowski</t>
  </si>
  <si>
    <t>LMU Klinikum — Dr. von Haunersches Kinderspital, iSPZ Hauner (Angelman Zentrum München)</t>
  </si>
  <si>
    <t>Lead of AZM (ASF clinic; LADDER network); pediatric neurologist / epileptologist; REVEAL EU first-site institution; Aspire site institution.</t>
  </si>
  <si>
    <t>Site — LADDER network / AZM clinical-data hub</t>
  </si>
  <si>
    <t>Disease: Neuropediatrics 2025 (Manssen…Makowski); J Autism Dev Disord 2025 (Pfarrer…Makowski) | Trial (ION582): LMU REVEAL site (PI not confirmed) | Trial (competitor): Haunersche Kinderklinik Aspire site</t>
  </si>
  <si>
    <t>Not verified — no conference abstract retrieved</t>
  </si>
  <si>
    <t>TIER 1 — must-engage (ION582-specific)</t>
  </si>
  <si>
    <t>ASF clinic page; LMU AZM page; Ionis EU letter Apr 2026; Thieme Neuropediatrics 2025; LMU epub JADD 2025</t>
  </si>
  <si>
    <t>Dr. Lena Manssen</t>
  </si>
  <si>
    <t>LMU Klinikum — Dr. von Haunersches Kinderspital (iSPZ Hauner)</t>
  </si>
  <si>
    <t>AZM physician; joint first/corresponding author of 'Precision Medicine in Angelman Syndrome' (Neuropediatrics 2025).</t>
  </si>
  <si>
    <t>Disease: Neuropediatrics 2025 (joint first author); JADD 2025</t>
  </si>
  <si>
    <t>TIER 2 — engage</t>
  </si>
  <si>
    <t>Thieme Neuropediatrics 2025; LMU epub</t>
  </si>
  <si>
    <t>PD Dr. Cornelia von Hagen</t>
  </si>
  <si>
    <t>LMU Klinikum (Hauner) / kbo-Kinderzentrum München gGmbH</t>
  </si>
  <si>
    <t>Psychology lead of AZM per 2021 AZM flyer; co-author Neuropediatrics 2025 and JADD 2025.</t>
  </si>
  <si>
    <t>Disease: Neuropediatrics 2025; JADD 2025</t>
  </si>
  <si>
    <t>AZM flyer 2021; Thieme Neuropediatrics 2025</t>
  </si>
  <si>
    <t>Heike Weigand</t>
  </si>
  <si>
    <t>Co-author, Neuropediatrics 2025 AS review (Division of Pediatric Neurology, Developmental Medicine &amp; Social Pediatrics).</t>
  </si>
  <si>
    <t>Disease: Neuropediatrics 2025</t>
  </si>
  <si>
    <t>TIER 3 — monitor</t>
  </si>
  <si>
    <t>Thieme Neuropediatrics 2025</t>
  </si>
  <si>
    <t>Ingo Borggraefe</t>
  </si>
  <si>
    <t>Co-author, JADD 2025 behavioural-problems / family-impact study in AS.</t>
  </si>
  <si>
    <t>Disease: JADD 2025</t>
  </si>
  <si>
    <t>LMU epub (JADD 2025)</t>
  </si>
  <si>
    <t>Prof. Volker Mall</t>
  </si>
  <si>
    <t>kbo-Kinderzentrum München gGmbH (SPZ); TU München (chair of social paediatrics per 2021 flyer)</t>
  </si>
  <si>
    <t>Ärztlicher Direktor kbo-Kinderzentrum — listed in 2021 AZM flyer (initiative partner of Angelman e.V.). Current role to verify.</t>
  </si>
  <si>
    <t>None retrieved</t>
  </si>
  <si>
    <t>TIER 2 — engage — verify current role</t>
  </si>
  <si>
    <t>AZM flyer 2021</t>
  </si>
  <si>
    <t>Prof. Stefan Burdach</t>
  </si>
  <si>
    <t>München Klinik Schwabing — Klinik und Poliklinik für Kinder- und Jugendmedizin (per 2021 flyer)</t>
  </si>
  <si>
    <t>Chefarzt named on 2021 AZM flyer (original AZM host). Current role / affiliation to verify (AZM moved to LMU).</t>
  </si>
  <si>
    <t>TIER 3 — monitor — verify current role</t>
  </si>
  <si>
    <t>Dr. Janina Gburek-Augustat</t>
  </si>
  <si>
    <t>Universitätsklinikum Leipzig — SPZ / Neuropädiatrie (Angelman Zentrum Leipzig)</t>
  </si>
  <si>
    <t>AZL clinic lead (ASF clinic contact); co-author Neuropediatrics 2025; Aspire site (University of Leipzig).</t>
  </si>
  <si>
    <t>Site — AZL clinical lead; Aspire site</t>
  </si>
  <si>
    <t>Disease: Neuropediatrics 2025 | Trial (competitor): University of Leipzig Aspire site (PI not confirmed)</t>
  </si>
  <si>
    <t>TIER 1 — must-engage (registry/clinic hub)</t>
  </si>
  <si>
    <t>ASF clinic page; AZL flyer 2025; Thieme Neuropediatrics 2025; ichgcp NCT06617429</t>
  </si>
  <si>
    <t>Prof. Andreas Merkenschlager</t>
  </si>
  <si>
    <t>Universitätsklinikum Leipzig — Neuropädiatrie / Epileptologie</t>
  </si>
  <si>
    <t>AZL team (neuropaediatrics / epileptology / social medicine); co-author Neuropediatrics 2025.</t>
  </si>
  <si>
    <t>Site — AZL</t>
  </si>
  <si>
    <t>AZL flyer 2025; Thieme Neuropediatrics 2025</t>
  </si>
  <si>
    <t>Prof. Johannes R. Lemke</t>
  </si>
  <si>
    <t>Universitätsklinikum Leipzig — Institut für Humangenetik; Center for Rare Diseases</t>
  </si>
  <si>
    <t>Contact for human genetics and the Angelman online register (Leipzig); senior co-author Neuropediatrics 2025.</t>
  </si>
  <si>
    <t>Coordinator — German Angelman online register (Leipzig)</t>
  </si>
  <si>
    <t>TIER 1 — must-engage (registry)</t>
  </si>
  <si>
    <t>Dr. Ilona Krey</t>
  </si>
  <si>
    <t>Universitätsklinikum Leipzig — Institut für Humangenetik</t>
  </si>
  <si>
    <t>Register contact (Angelman online register); joint first author Neuropediatrics 2025.</t>
  </si>
  <si>
    <t>Coordinator — German Angelman online register (operational contact)</t>
  </si>
  <si>
    <t>Disease: Neuropediatrics 2025 (joint first author)</t>
  </si>
  <si>
    <t>Dr. Eckehard Schumann</t>
  </si>
  <si>
    <t>Universitätsklinikum Leipzig — neuropädiatrische Station J2-1</t>
  </si>
  <si>
    <t>Organises inpatient admissions for AZL.</t>
  </si>
  <si>
    <t>AZL flyer 2025</t>
  </si>
  <si>
    <t>Dr. Andrea Maier</t>
  </si>
  <si>
    <t>Uniklinik RWTH Aachen — MZEB (Angelman Zentrum Aachen)</t>
  </si>
  <si>
    <t>Neurologist; leader of AZA, first adult AS centre in Germany.</t>
  </si>
  <si>
    <t>TIER 2 — engage (adult cohort)</t>
  </si>
  <si>
    <t>UKA news Dec 2021; ASF clinic page</t>
  </si>
  <si>
    <t>Prof. Ania C. Muntau</t>
  </si>
  <si>
    <t>Universitätsklinikum Hamburg-Eppendorf — Klinik für Kinder- und Jugendmedizin</t>
  </si>
  <si>
    <t>Director of the Kinderklinik; 20+ years in rare genetic disease; UKE is an Aspire site (investigator not identified).</t>
  </si>
  <si>
    <t>Site — Aspire (institution)</t>
  </si>
  <si>
    <t>Trial (competitor): UKE Aspire site (role not confirmed)</t>
  </si>
  <si>
    <t>TIER 3 — monitor — verify local investigator</t>
  </si>
  <si>
    <t>UKE Kinderklinik page; ichgcp NCT06617429</t>
  </si>
  <si>
    <t>Martin Scheffner</t>
  </si>
  <si>
    <t>Universität Konstanz — Department of Biology (UBE3A biochemistry)</t>
  </si>
  <si>
    <t>Scientific (non-clinician) co-author of the 2026 expert review 'Crossing the finish line towards a disease-modifying treatment for Angelman syndrome'.</t>
  </si>
  <si>
    <t>Disease: J Neurodev Disord 2026 review (co-author)</t>
  </si>
  <si>
    <t>TIER 3 — monitor (scientific voice)</t>
  </si>
  <si>
    <t>PMC13001298</t>
  </si>
  <si>
    <t>Nadia Bahi-Buisson</t>
  </si>
  <si>
    <t>AP-HP — Hôpital Necker-Enfants Malades (Neuropédiatrie)</t>
  </si>
  <si>
    <t>Coordinating investigator for HALOS (AP-HP registry); FAST Scientific Advisory Board member; &gt;250 publications (FAST France).</t>
  </si>
  <si>
    <t>Coordinator — HALOS French coordinating investigator</t>
  </si>
  <si>
    <t>Disease: EYEANGEL partner centre (FAST France) | Trial (ION582): HALOS Phase 1/2 coordinating investigator (France)</t>
  </si>
  <si>
    <t>AP-HP registry; FAST France eye-tracking page</t>
  </si>
  <si>
    <t>Prof. Nathalie Boddaert</t>
  </si>
  <si>
    <t>AP-HP — Hôpital Necker-Enfants Malades (Pediatric Radiology)</t>
  </si>
  <si>
    <t>Head of Paediatric Radiology; leads EYEANGEL (AS eye-tracking social-perception study, FAST France-funded); ~400 publications (FAST France).</t>
  </si>
  <si>
    <t>Coordinator — EYEANGEL (AP-HP)</t>
  </si>
  <si>
    <t>Disease: EYEANGEL eye-tracking study (AP-HP)</t>
  </si>
  <si>
    <t>TIER 2 — high value</t>
  </si>
  <si>
    <t>FAST France eye-tracking page</t>
  </si>
  <si>
    <t>Dr. Delphine Héron</t>
  </si>
  <si>
    <t>AP-HP Sorbonne Université — Pitié-Salpêtrière (CRMR Déficiences Intellectuelles de causes rares, coordinating centre)</t>
  </si>
  <si>
    <t>Coordinator of the national PNDS Angelman (Nov 2021) and its argumentaire.</t>
  </si>
  <si>
    <t>Yes — national guideline (PNDS Angelman 2021)</t>
  </si>
  <si>
    <t>Disease: PNDS Angelman 2021 + argumentaire (national guideline)</t>
  </si>
  <si>
    <t>TIER 1 — must-engage (national guideline lead)</t>
  </si>
  <si>
    <t>HAS PNDS page; PNDS argumentaire PDF; HCL CRDI page</t>
  </si>
  <si>
    <t>Prof. Alain Verloes</t>
  </si>
  <si>
    <t>AP-HP — Hôpital Robert-Debré (Clinical Genetics); ERN-ITHACA coordinator</t>
  </si>
  <si>
    <t>Coordinator of ERN-ITHACA (since Nov 2018); head of the Robert-Debré clinical genetics department.</t>
  </si>
  <si>
    <t>TIER 2 — engage (network lead)</t>
  </si>
  <si>
    <t>ERN-ITHACA 'Who we are'; Orphanet ERN-ITHACA page</t>
  </si>
  <si>
    <t>Pr Vincent des Portes</t>
  </si>
  <si>
    <t>HCL — Hôpital Femme Mère Enfant, Bron (CRDI Lyon)</t>
  </si>
  <si>
    <t>Coordinator, Lyon reference centre for rare-cause intellectual disability (ERN-ITHACA member).</t>
  </si>
  <si>
    <t>HCL CRDI page</t>
  </si>
  <si>
    <t>Dr Aurore Curie</t>
  </si>
  <si>
    <t>Co-coordinator, Lyon CRDI.</t>
  </si>
  <si>
    <t>Dr Christelle Rougeot-Jung</t>
  </si>
  <si>
    <t>Jamal Ghoumid</t>
  </si>
  <si>
    <t>CHU Lille — Clinique de Génétique (CRDI Lille)</t>
  </si>
  <si>
    <t>Lille CRDI team (centre lists Angelman among covered conditions); AS-specific output not verified.</t>
  </si>
  <si>
    <t>PLEMaRa Lille CRDI page</t>
  </si>
  <si>
    <t>Florence Petit</t>
  </si>
  <si>
    <t>Lille CRDI team; AS-specific output not verified.</t>
  </si>
  <si>
    <t>Prof. Roberta Battini</t>
  </si>
  <si>
    <t>IRCCS Fondazione Stella Maris / Università di Pisa — Neurologia dello Sviluppo</t>
  </si>
  <si>
    <t>Director of the Developmental Neurology UO; associate professor of child neuropsychiatry; Italian PI of HALOS; REVEAL Italian site; IReAS co-author.</t>
  </si>
  <si>
    <t>Coordinator — HALOS Italian PI; IReAS participant</t>
  </si>
  <si>
    <t>Disease: IReAS EJMG 2026 | Trial (ION582): HALOS Italian PI; REVEAL site</t>
  </si>
  <si>
    <t>Stella Maris press 2026; La Nazione 2023; AboutPharma; Flore (IReAS)</t>
  </si>
  <si>
    <t>Named as investigator for Besta in Italian REVEAL communication.</t>
  </si>
  <si>
    <t>Trial (ION582): REVEAL (Besta)</t>
  </si>
  <si>
    <t>Stella Maris press 21 May 2026</t>
  </si>
  <si>
    <t>Dr. Alberto Danieli</t>
  </si>
  <si>
    <t>IRCCS Eugenio Medea — Epilepsy and Clinical Neurophysiology Unit</t>
  </si>
  <si>
    <t>Named as REVEAL investigator for Medea; senior author on AS high-density-EEG excitability preprint (2026).</t>
  </si>
  <si>
    <t>Disease: medRxiv 2026 preprint (senior author; not peer-reviewed) | Trial (ION582): REVEAL (Medea)</t>
  </si>
  <si>
    <t>Stella Maris press 2026; medRxiv 2026.03.21.26348706</t>
  </si>
  <si>
    <t>Paolo Bonanni</t>
  </si>
  <si>
    <t>Senior author on the 2026 AS EEG-excitability preprint.</t>
  </si>
  <si>
    <t>Disease: medRxiv 2026 preprint (senior author)</t>
  </si>
  <si>
    <t>medRxiv 2026.03.21.26348706</t>
  </si>
  <si>
    <t>Dr. Nicola Pietrafusa</t>
  </si>
  <si>
    <t>Ospedale Pediatrico Bambino Gesù IRCCS — Neurology, Epilepsy &amp; Movement Disorders</t>
  </si>
  <si>
    <t>Named REVEAL investigator for Bambino Gesù; first author, AS NCSE cannabidiol paper (Epilepsia Open 2024).</t>
  </si>
  <si>
    <t>Disease: Epilepsia Open 2024 (first author) | Trial (ION582): REVEAL (Bambino Gesù)</t>
  </si>
  <si>
    <t>Stella Maris press 2026; PMC11450666</t>
  </si>
  <si>
    <t>Nicola Specchio</t>
  </si>
  <si>
    <t>Ospedale Pediatrico Bambino Gesù IRCCS — Neurology, Epilepsy &amp; Movement Disorders (EpiCARE full member)</t>
  </si>
  <si>
    <t>Corresponding/senior author, AS NCSE paper 2024.</t>
  </si>
  <si>
    <t>Disease: Epilepsia Open 2024 (corresponding author)</t>
  </si>
  <si>
    <t>PMC11450666</t>
  </si>
  <si>
    <t>Luca De Palma</t>
  </si>
  <si>
    <t>Co-author, AS NCSE paper 2024.</t>
  </si>
  <si>
    <t>Disease: Epilepsia Open 2024</t>
  </si>
  <si>
    <t>Michelina Armando</t>
  </si>
  <si>
    <t>Ospedale Pediatrico Bambino Gesù IRCCS — Neurorehabilitation</t>
  </si>
  <si>
    <t>Co-author, AS NCSE paper 2024; IReAS co-author.</t>
  </si>
  <si>
    <t>Disease: Epilepsia Open 2024; IReAS EJMG 2026</t>
  </si>
  <si>
    <t>PMC11450666; Flore (IReAS)</t>
  </si>
  <si>
    <t>Federico Vigevano</t>
  </si>
  <si>
    <t>Ospedale Pediatrico Bambino Gesù IRCCS — Neurological Sciences &amp; Rehabilitation Medicine area</t>
  </si>
  <si>
    <t>Senior co-author, AS NCSE paper 2024.</t>
  </si>
  <si>
    <t>IRCCS Istituto Auxologico Italiano — Clinical Genetics &amp; Molecular Biology Lab</t>
  </si>
  <si>
    <t>OR.S.A.-listed referral clinician; IReAS co-author.</t>
  </si>
  <si>
    <t>Disease: IReAS EJMG 2026</t>
  </si>
  <si>
    <t>OR.S.A. centre list; Flore (IReAS)</t>
  </si>
  <si>
    <t>ASST Lariana — Ospedale Sant'Anna (UOC Pediatria)</t>
  </si>
  <si>
    <t>OR.S.A.-listed referral clinician; co-author of the CdLS international consensus (not AS).</t>
  </si>
  <si>
    <t>OR.S.A. centre list; Oliver-lab reference list (Kline 2018)</t>
  </si>
  <si>
    <t>ASST Spedali Civili di Brescia — Neuropsichiatria Infantile</t>
  </si>
  <si>
    <t>OR.S.A.-listed referral clinician.</t>
  </si>
  <si>
    <t>OR.S.A. centre list</t>
  </si>
  <si>
    <t>Ospedale Fatebenefratelli e Oftalmico — CREI</t>
  </si>
  <si>
    <t>AOU Maggiore della Carità, Novara — Neuropsichiatria Infantile</t>
  </si>
  <si>
    <t>Ospedale Infantile 'C. Arrigo', Alessandria — Neuropsichiatria Infantile</t>
  </si>
  <si>
    <t>Edvige Veneselli</t>
  </si>
  <si>
    <t>Affiliation not stated in retrieved source — verify (likely IRCCS Gaslini)</t>
  </si>
  <si>
    <t>IReAS co-author (EJMG 2026).</t>
  </si>
  <si>
    <t>TIER 2 — engage — verify affiliation</t>
  </si>
  <si>
    <t>Flore (IReAS)</t>
  </si>
  <si>
    <t>Maurizio Elia</t>
  </si>
  <si>
    <t>Affiliation not stated in retrieved source — verify</t>
  </si>
  <si>
    <t>TIER 3 — monitor — verify affiliation</t>
  </si>
  <si>
    <t>Stefano Sartori</t>
  </si>
  <si>
    <t>Giuseppe Gobbi</t>
  </si>
  <si>
    <t>Paola Torreri</t>
  </si>
  <si>
    <t>Senior (last) author, IReAS national registry paper (EJMG 2026).</t>
  </si>
  <si>
    <t>Coordinator — IReAS (senior author; role to verify)</t>
  </si>
  <si>
    <t>Disease: IReAS EJMG 2026 (last author)</t>
  </si>
  <si>
    <t>TIER 2 — engage (registry) — verify affiliation</t>
  </si>
  <si>
    <t>Francesco Biroli</t>
  </si>
  <si>
    <t>FROM Research Foundation ETS — Papa Giovanni XXIII Hospital, Bergamo</t>
  </si>
  <si>
    <t>Corresponding author, RISA Italian Angelman Registry (JCM 2024; 82 participants; enrolment closed).</t>
  </si>
  <si>
    <t>Coordinator — RISA registry (FROM)</t>
  </si>
  <si>
    <t>Disease: RISA JCM 2024 (corresponding author)</t>
  </si>
  <si>
    <t>TIER 2 — engage (registry)</t>
  </si>
  <si>
    <t>MDPI JCM 2024; RISA site</t>
  </si>
  <si>
    <t>Pier Luigi Carriero</t>
  </si>
  <si>
    <t>Co-first author, RISA registry paper (JCM 2024).</t>
  </si>
  <si>
    <t>Coordinator — RISA registry</t>
  </si>
  <si>
    <t>Disease: RISA JCM 2024 (co-first author)</t>
  </si>
  <si>
    <t>MDPI JCM 2024</t>
  </si>
  <si>
    <t>Dr. Ana Roche</t>
  </si>
  <si>
    <t>Corporació Sanitària Parc Taulí / I3PT — ASF Clinic Parc Taulí</t>
  </si>
  <si>
    <t>ASF clinic head; co-head of the neurodevelopmental research group; co-author of rugonersen TANGELO (Nature Medicine 2025); PI of FAST Spain microbiome/biomarker project (2026–29); h-index 25.</t>
  </si>
  <si>
    <t>Site — FAST Spain natural-history (Parc Taulí)</t>
  </si>
  <si>
    <t>Disease: TANGELO Nature Med 2025 (co-author) | Trial (ION582): REVEAL EU first-site institution | Trial (competitor): GTX-102 Phase 1/2 and Aspire (Parc Taulí enrolled)</t>
  </si>
  <si>
    <t>ASF clinic page; Parc Taulí news; UAB research portal; Nature Med</t>
  </si>
  <si>
    <t>Dr. Ariadna Ramírez Mallafré</t>
  </si>
  <si>
    <t>Hospital Parc Taulí — Servicio de Genética Molecular</t>
  </si>
  <si>
    <t>Principal investigator, FAST Spain natural-history study (Parc Taulí site); ASF clinic appointment contact.</t>
  </si>
  <si>
    <t>Site — FAST Spain natural-history PI (Parc Taulí)</t>
  </si>
  <si>
    <t>Disease: FAST Spain NH study (NCT06115109)</t>
  </si>
  <si>
    <t>ichgcp NCT06115109; ASF clinic page</t>
  </si>
  <si>
    <t>Dr. Belén Ruiz-Antorán</t>
  </si>
  <si>
    <t>Hospital Universitario Puerta de Hierro Majadahonda — Clinical Pharmacology</t>
  </si>
  <si>
    <t>Sponsor-investigator of the FAST Spain natural-history study; first author of A-MANECE minocycline RCT (Orphanet J Rare Dis 2018).</t>
  </si>
  <si>
    <t>Coordinator — FAST Spain natural-history study (NCT06115109)</t>
  </si>
  <si>
    <t>Disease: A-MANECE RCT 2018 (first author); FAST Spain NH</t>
  </si>
  <si>
    <t>TIER 1 — must-engage (natural history / RWE)</t>
  </si>
  <si>
    <t>Europe PMC A-MANECE; ichgcp NCT06115109</t>
  </si>
  <si>
    <t>Aránzazu Sancho-López</t>
  </si>
  <si>
    <t>Hospital Universitario Puerta de Hierro — Clinical Pharmacology</t>
  </si>
  <si>
    <t>Co-author, A-MANECE RCT.</t>
  </si>
  <si>
    <t>Disease: A-MANECE RCT 2018</t>
  </si>
  <si>
    <t>Europe PMC A-MANECE</t>
  </si>
  <si>
    <t>Cristina Avendaño-Solá</t>
  </si>
  <si>
    <t>Senior (last) author, A-MANECE RCT.</t>
  </si>
  <si>
    <t>Disease: A-MANECE RCT 2018 (senior author)</t>
  </si>
  <si>
    <t>Enriqueta Román-Riechmann</t>
  </si>
  <si>
    <t>Hospital Universitario Puerta de Hierro — Paediatrics</t>
  </si>
  <si>
    <t>Rosario Cazorla-Calleja</t>
  </si>
  <si>
    <t>Gema Iglesias-Escalera</t>
  </si>
  <si>
    <t>Julián Lara-Herguedas</t>
  </si>
  <si>
    <t>Luis Fernando López-Pájaro</t>
  </si>
  <si>
    <t>Hospital Universitario Puerta de Hierro — Neurophysiology</t>
  </si>
  <si>
    <t>Co-author, A-MANECE RCT (EEG).</t>
  </si>
  <si>
    <t>María Esperanza Marín-Serrano</t>
  </si>
  <si>
    <t>Dr. Mercedes Serrano</t>
  </si>
  <si>
    <t>Hospital Sant Joan de Déu / IRSJD — Neurology; XUEC coordinator</t>
  </si>
  <si>
    <t>Paediatric neurologist; coordinator of the XUEC genetic cognitive-behavioural diseases network; co-author of rugonersen TANGELO (Nature Medicine 2025).</t>
  </si>
  <si>
    <t>Disease: TANGELO Nature Med 2025 (co-author) | Trial (competitor): GTX-102 Aspire (SJD site); rugonersen TANGELO</t>
  </si>
  <si>
    <t>TIER 2 — high value (competitor-trial experience)</t>
  </si>
  <si>
    <t>SJD specialist page; IRSJD; Nature Med</t>
  </si>
  <si>
    <t>Antonio Martínez Monseny</t>
  </si>
  <si>
    <t>Hospital Sant Joan de Déu — Instituto Pediátrico de Enfermedades Raras</t>
  </si>
  <si>
    <t>Listed SEGCD contact specialist (Angelman among institute areas of interest).</t>
  </si>
  <si>
    <t>SEGCD centre page</t>
  </si>
  <si>
    <t>Francesc Palau</t>
  </si>
  <si>
    <t>Prof. Alexis Arzimanoglou</t>
  </si>
  <si>
    <t>Hospital Sant Joan de Déu — Epilepsy Program; ERN-EpiCARE coordinator</t>
  </si>
  <si>
    <t>Coordinator of ERN-EpiCARE (since 2019); Director of the epilepsy programme at SJD; formerly Head of Paediatric Epileptology at HCL Lyon (to 2023). Epilepsy (AS-adjacent) KOL.</t>
  </si>
  <si>
    <t>TIER 2 — engage (epilepsy network lead; AS-adjacent)</t>
  </si>
  <si>
    <t>EpiCARE 'Members' page</t>
  </si>
  <si>
    <t>Prof. Jill Clayton-Smith</t>
  </si>
  <si>
    <t>Manchester University NHS FT — Manchester Centre for Genomic Medicine</t>
  </si>
  <si>
    <t>Professor of Clinical Genetics; career-long AS research (MD thesis on AS; first AS UPD cases; UK diagnostic service); founded ERN-ITHACA (2017); self-reports involvement in AS consensus criteria and management guidelines.</t>
  </si>
  <si>
    <t>Qualified — self-reported (authorship unverified)</t>
  </si>
  <si>
    <t>Disease: AS clinical &amp; genetic research (specific papers not retrieved)</t>
  </si>
  <si>
    <t>TIER 1 — must-engage (UK AS clinic)</t>
  </si>
  <si>
    <t>AngelmanUK experts page; Manchester clinic page; ERN-ITHACA 'Who we are'</t>
  </si>
  <si>
    <t>Dr. Catherine Breen</t>
  </si>
  <si>
    <t>Clinic lead and consultant clinical geneticist for the Angelman clinic and Rett clinic; referral addressee.</t>
  </si>
  <si>
    <t>MRCC clinic page; AngelmanUK clinic page</t>
  </si>
  <si>
    <t>Dr. Dan Hindley</t>
  </si>
  <si>
    <t>Manchester University NHS FT — Paediatric neurodisability / epilepsy</t>
  </si>
  <si>
    <t>Consultant paediatrician (epilepsy, neurorehabilitation) in the Angelman clinic team.</t>
  </si>
  <si>
    <t>Manchester Centre for Genomic Medicine page</t>
  </si>
  <si>
    <t>Dr. Eric Taylor</t>
  </si>
  <si>
    <t>Manchester University NHS FT — Clinical Psychology</t>
  </si>
  <si>
    <t>Clinical psychologist in the Angelman clinic team.</t>
  </si>
  <si>
    <t>Prof. Laurent Servais</t>
  </si>
  <si>
    <t>University of Oxford — Dept of Paediatrics (STRONG group; MDUK Oxford Neuromuscular Centre)</t>
  </si>
  <si>
    <t>Chief Investigator of the FAST UK AS Natural History Study; Oxford is a HALOS and REVEAL site.</t>
  </si>
  <si>
    <t>Coordinator — UK natural-history study (CI)</t>
  </si>
  <si>
    <t>Disease: FAST UK NatHis (NCT05100810) | Trial (ION582): Oxford HALOS/REVEAL site (investigator not confirmed)</t>
  </si>
  <si>
    <t>TIER 1 — must-engage (ION582-specific; natural history)</t>
  </si>
  <si>
    <t>Cure Angelman UK; HRA NatHis; ichgcp NCT05100810</t>
  </si>
  <si>
    <t>Dr. Usha Kini</t>
  </si>
  <si>
    <t>Oxford University Hospitals NHS FT — Clinical Genetics</t>
  </si>
  <si>
    <t>Principal Investigator, FAST UK AS Natural History Study (consultant clinical geneticist).</t>
  </si>
  <si>
    <t>Coordinator — UK natural-history study (PI)</t>
  </si>
  <si>
    <t>Disease: FAST UK NatHis</t>
  </si>
  <si>
    <t>TIER 1 — must-engage (natural history)</t>
  </si>
  <si>
    <t>Cure Angelman UK</t>
  </si>
  <si>
    <t>Dr. Theodora Markati</t>
  </si>
  <si>
    <t>University of Oxford — Dept of Paediatrics</t>
  </si>
  <si>
    <t>Study contact / researcher, FAST UK NatHis.</t>
  </si>
  <si>
    <t>Site — UK natural-history study (study contact)</t>
  </si>
  <si>
    <t>ichgcp NCT05100810</t>
  </si>
  <si>
    <t>Prof. Chris Oliver</t>
  </si>
  <si>
    <t>University of Birmingham — Cerebra Centre for Neurodevelopmental Disorders</t>
  </si>
  <si>
    <t>Emeritus Professor; behaviour, sleep and cognition in AS (&gt;20 AS papers); Editor-in-Chief J Intellect Disabil Res; regular AngelmanUK presenter. Psychologist (non-physician).</t>
  </si>
  <si>
    <t>Disease: AS behavioural-phenotype and sleep research (e.g. Front Psychiatry 2019)</t>
  </si>
  <si>
    <t>TIER 2 — engage (research KOL)</t>
  </si>
  <si>
    <t>AngelmanUK UK-research page; Birmingham staff page; Front Psychiatry 2019</t>
  </si>
  <si>
    <t>Dr. Mary Heald</t>
  </si>
  <si>
    <t>University of Birmingham — Cerebra Centre</t>
  </si>
  <si>
    <t>Researcher on sleep, behaviour and intervention in AS (trainee clinical psychologist at time of source).</t>
  </si>
  <si>
    <t>Disease: AS sleep papers (Res Dev Disabil; Front Psychiatry 2019)</t>
  </si>
  <si>
    <t>AngelmanUK UK-research page; Front Psychiatry 2019</t>
  </si>
  <si>
    <t>Caroline Richards</t>
  </si>
  <si>
    <t>Senior author, multi-method sleep assessment in AS (Front Psychiatry 2019).</t>
  </si>
  <si>
    <t>Disease: Front Psychiatry 2019 (senior author)</t>
  </si>
  <si>
    <t>Birmingham research portal</t>
  </si>
  <si>
    <t>Paul Gringras</t>
  </si>
  <si>
    <t>Paediatric sleep medicine (affiliation not stated in retrieved source — verify)</t>
  </si>
  <si>
    <t>Co-author, multi-method sleep assessment in AS (Front Psychiatry 2019).</t>
  </si>
  <si>
    <t>Disease: Front Psychiatry 2019</t>
  </si>
  <si>
    <t>Prof. Helen Cross</t>
  </si>
  <si>
    <t>Great Ormond Street Hospital / UCL (affiliation inferred — verify)</t>
  </si>
  <si>
    <t>Led the founding steering committee of ERN-EpiCARE (2017); paediatric epilepsy (AS-adjacent).</t>
  </si>
  <si>
    <t>TIER 2 — engage (AS-adjacent epilepsy)</t>
  </si>
  <si>
    <t>EpiCARE 'Members' page; GOSH Neurology page</t>
  </si>
  <si>
    <t>Stephan J. Sanders</t>
  </si>
  <si>
    <t>University of Oxford — Institute of Developmental and Regenerative Medicine; UCSF</t>
  </si>
  <si>
    <t>Co-author of the 2026 expert review on disease-modifying treatment for AS.</t>
  </si>
  <si>
    <t>Jo Moss</t>
  </si>
  <si>
    <t>University of Surrey (per Google Scholar co-author listing — verify)</t>
  </si>
  <si>
    <t>Long-term Cerebra Centre collaborator on AS behavioural phenotype (psychologist).</t>
  </si>
  <si>
    <t>Disease: AS behavioural-phenotype chapter (Oliver 2013)</t>
  </si>
  <si>
    <t>Oliver et al. 2013 chapter; Google Scholar</t>
  </si>
  <si>
    <t>Tier counts — EU4+UK Angelman syndrome (ION582)</t>
  </si>
  <si>
    <t>A. CENTRES — country × tier matrix (formulas on Country_Centres)</t>
  </si>
  <si>
    <t>Tier 1</t>
  </si>
  <si>
    <t>Tier 2</t>
  </si>
  <si>
    <t>Tier 3</t>
  </si>
  <si>
    <t>Tier 4</t>
  </si>
  <si>
    <t>Total enumerated</t>
  </si>
  <si>
    <t>Three ASF clinics anchor care (Munich 0–18 y, Leipzig, Aachen adults). Munich is the first EU REVEAL site; Munich, Leipzig and UKE are Aspire sites. ERN membership of the ASF clinics unconfirmed. Leipzig hosts the German AS register.</t>
  </si>
  <si>
    <t>Only EU4 country with a national AS guideline (PNDS 2021, Pitié-Salpêtrière). Necker = HALOS site. No REVEAL site named — expansion gap. Tier 3 are EpiCARE members without AS signal.</t>
  </si>
  <si>
    <t>Widest ION582 footprint: Stella Maris (HALOS PI) plus four named REVEAL centres; two registries (RISA, IReAS). Tier 3 largely from a patient-association list.</t>
  </si>
  <si>
    <t>Two Tier 1 hubs (Parc Taulí ASF clinic; Puerta de Hierro natural-history coordinator); SJD and Virgen del Rocío are Aspire/TANGELO sites; Tier 3 = EpiCARE members.</t>
  </si>
  <si>
    <t>P4 N/A (post-Brexit). Manchester (only specialist AS clinic), Oxford (NatHis + HALOS/REVEAL) and GOSH (REVEAL). UK Tier 3 not enumerated.</t>
  </si>
  <si>
    <t>TOTAL</t>
  </si>
  <si>
    <t>Reconciles to Country_Centres row count (check cell below).</t>
  </si>
  <si>
    <t>Reconciliation check (rows in Country_Centres)</t>
  </si>
  <si>
    <t>B. CENTRE CROSS-CUTS (formulas on Country_Centres)</t>
  </si>
  <si>
    <t>Cross-cut</t>
  </si>
  <si>
    <t>Count</t>
  </si>
  <si>
    <t>Definition</t>
  </si>
  <si>
    <t>Centres hosting a P1 guideline author (national or international)</t>
  </si>
  <si>
    <t>P1 flag begins 'Yes' (France PNDS only). Qualified (Manchester, self-reported) counted below.</t>
  </si>
  <si>
    <t>Centres with a qualified P1 (self-reported / unverified)</t>
  </si>
  <si>
    <t>Manchester — authorship unverified.</t>
  </si>
  <si>
    <t>Centres with P2 disease publication authorship</t>
  </si>
  <si>
    <t>P2 flag mentions disease publication / study.</t>
  </si>
  <si>
    <t>Centres with ION582 trial authorship / role (HALOS or REVEAL)</t>
  </si>
  <si>
    <t>P2 flag mentions ION582 trial.</t>
  </si>
  <si>
    <t>Centres with competitor-trial authorship / role</t>
  </si>
  <si>
    <t>GTX-102 (Phase 1/2, Aspire), rugonersen (TANGELO).</t>
  </si>
  <si>
    <t>Centres with either ION582 or competitor-trial role</t>
  </si>
  <si>
    <t>Union of the two rows above (trial-ready shortlist).</t>
  </si>
  <si>
    <t>Centres with a P3 coordinator role</t>
  </si>
  <si>
    <t>Registry / natural-history / national-lead investigator.</t>
  </si>
  <si>
    <t>Centres listed as P3 sites</t>
  </si>
  <si>
    <t>Participating (non-coordinating) sites.</t>
  </si>
  <si>
    <t>Centres that are P4 HCPs (ERN or national reference)</t>
  </si>
  <si>
    <t>Confirmed from member lists; 'Unconfirmed' rows excluded.</t>
  </si>
  <si>
    <t>Centres with an explicit P5 AS programme</t>
  </si>
  <si>
    <t>ASF clinics, Manchester clinic, AS-dedicated units.</t>
  </si>
  <si>
    <t>C. KOLs — country × tier matrix (formulas on KOL_Roster; tier = score-driven)</t>
  </si>
  <si>
    <t>15 named (Munich LMU/kbo, Leipzig, Aachen, UKE, scientific voice). Two names (Mall, Burdach) from a 2021 flyer — verify currency.</t>
  </si>
  <si>
    <t>9 named — BELOW the 15 minimum (disclosed). Core: Necker (Bahi-Buisson, Boddaert), Pitié (Héron), ERN-ITHACA (Verloes), Lyon/Lille CRDI teams. Pull the DéfiScience competence-centre list to close the gap.</t>
  </si>
  <si>
    <t>22 named (REVEAL investigators, HALOS PI, IReAS/RISA authors, patient-association-listed clinicians). Several IReAS authors need affiliation verification.</t>
  </si>
  <si>
    <t>15 named; 9 of them are A-MANECE co-authors (Puerta de Hierro) with low individual scores. Key: Roche, Ramírez Mallafré, Ruiz-Antorán, Serrano.</t>
  </si>
  <si>
    <t>14 named — one BELOW the 15 minimum (disclosed). Includes non-physician research KOLs (Birmingham Cerebra Centre).</t>
  </si>
  <si>
    <t>No KOL reaches Tier 1 on evidence-floor scoring (see README) — engagement priority is tracked separately in KOL_Roster column I.</t>
  </si>
  <si>
    <t>D. KOL CROSS-CUTS (formulas on KOL_Roster)</t>
  </si>
  <si>
    <t>KOLs with national/international guideline authorship</t>
  </si>
  <si>
    <t>[P1] begins 'Yes' (Héron — PNDS).</t>
  </si>
  <si>
    <t>KOLs with a qualified (self-reported) guideline role</t>
  </si>
  <si>
    <t>Clayton-Smith — authorship unverified.</t>
  </si>
  <si>
    <t>KOLs with clinical-trial roles (ION582 or competitor)</t>
  </si>
  <si>
    <t>P2 field contains a trial entry.</t>
  </si>
  <si>
    <t xml:space="preserve">   of which ION582 (HALOS / REVEAL)</t>
  </si>
  <si>
    <t xml:space="preserve">   of which competitor trials</t>
  </si>
  <si>
    <t>KOLs with disease publications / datasets</t>
  </si>
  <si>
    <t>P2 field contains a disease publication or study.</t>
  </si>
  <si>
    <t>KOLs with presentations at international meetings (verified)</t>
  </si>
  <si>
    <t>0 — conference evidence not retrieved for any KOL (see Verification_Flags #16).</t>
  </si>
  <si>
    <t>KOLs with a registry / natural-history coordinator role</t>
  </si>
  <si>
    <t>[P3] begins 'Coordinator'.</t>
  </si>
  <si>
    <t>Domain</t>
  </si>
  <si>
    <t>Capability</t>
  </si>
  <si>
    <t>Minimum requirement</t>
  </si>
  <si>
    <t>Typical Tier 1–2 coverage</t>
  </si>
  <si>
    <t>Notes / failure modes</t>
  </si>
  <si>
    <t>Diagnostics</t>
  </si>
  <si>
    <t>Molecular confirmation of AS genotype</t>
  </si>
  <si>
    <t>Methylation analysis (e.g. MS-MLPA) plus chromosomal microarray; UBE3A sequencing if still negative. REVEAL requires molecular confirmation of UBE3A deletion or mutation.</t>
  </si>
  <si>
    <t>Available through clinical-genetics services at Tier 1–2 (Manchester, Leipzig Human Genetics, Pitié-Salpêtrière, SJD offers Prader-Willi/Angelman methylation studies, Auxologico molecular lab).</t>
  </si>
  <si>
    <t>Roughly 80% of AS is identified by these tests; ~20% remain without genetic diagnosis (NHS GeNotes). UPD and imprinting-centre defects are EXCLUDED from REVEAL/HALOS — a CHAMPION Phase 3 (UPD/ID) is planned — so genotype gating drives addressable patients.</t>
  </si>
  <si>
    <t>EEG phenotyping and EEG biomarkers</t>
  </si>
  <si>
    <t>Standard + sleep EEG; AS-typical high-amplitude slow/spike patterns; EEG δ-power used as a pharmacodynamic biomarker in HALOS and rugonersen TANGELO.</t>
  </si>
  <si>
    <t>Tier 1–2 epilepsy/neurophysiology units (Munich EEG; Medea high-density EEG research; EpiCARE members).</t>
  </si>
  <si>
    <t>Practice variation in EEG protocols across sites; standardisation needed for any EEG-based secondary analysis.</t>
  </si>
  <si>
    <t>Severity assessment</t>
  </si>
  <si>
    <t>Developmental / functional outcome assessment</t>
  </si>
  <si>
    <t>Clinician-administered Bayley-4 (REVEAL primary endpoint: expressive communication), Vineland-3, SAS-CGI-C, sleep and caregiver-reported measures.</t>
  </si>
  <si>
    <t>Tier 1 trial sites with trained raters (HALOS/REVEAL sites; Aspire sites used Bayley-4 cognition).</t>
  </si>
  <si>
    <t>Rater availability and language standardisation across DE/FR/IT/ES/UK; age-band coverage (REVEAL ≥2 y; HALOS expanded &lt;2 y).</t>
  </si>
  <si>
    <t>Seizure and sleep burden tracking</t>
  </si>
  <si>
    <t>Seizure and sleep diaries; actigraphy where available (FAST UK NatHis uses ActiMyo, EEG, diaries).</t>
  </si>
  <si>
    <t>Oxford NatHis cohort; Birmingham Cerebra sleep research; Manchester MDT.</t>
  </si>
  <si>
    <t>Epilepsy in ~80–90% of AS; status epilepticus in last 6 months is a HALOS exclusion.</t>
  </si>
  <si>
    <t>Treatment</t>
  </si>
  <si>
    <t>Symptomatic multidisciplinary standard of care</t>
  </si>
  <si>
    <t>ASF consensus framework (genetics, developmental medicine, psychology, neurology incl. movement, sleep, psychiatry, orthopaedics, ophthalmology, communication/AAC, early intervention, caregiver health). Antiseizure and sleep management; ketogenic / low-GI diet (Munich).</t>
  </si>
  <si>
    <t>ASF clinics (Munich, Leipzig, Aachen, Parc Taulí), Manchester AS Clinic, Stella Maris.</t>
  </si>
  <si>
    <t>Disparities in management even at expert clinics are a stated driver of the consensus; Munich offers a 3-day compact programme for distant families.</t>
  </si>
  <si>
    <t>DIFFERENTIATING INFRASTRUCTURE — paediatric lumbar puncture / intrathecal administration under sedation or anaesthesia</t>
  </si>
  <si>
    <t>REVEAL requires participants who can undergo sedation and/or general anaesthesia WITHOUT intubation; ION582 is given as a lumbar intrathecal bolus (80 mg) every 12 weeks in the double-blind period (EU control arm: skin-prick sham). Key exclusions: spine/bone/bleeding disorders or brain/spinal disease that interfere with lumbar puncture.</t>
  </si>
  <si>
    <t>Trial sites with paediatric anaesthesia + LP capability (LMU, Parc Taulí, Stella Maris, Oxford, GOSH, Necker). Aspire sites already ran sham-LP procedures.</t>
  </si>
  <si>
    <t>This is the single most differentiating piece of infrastructure: not every neuropaediatric centre has routine paediatric intrathecal dosing under sedation. Scoliosis/hip complications in AS can complicate LP. Many Tier 3 EpiCARE centres lack AS-specific dosing experience.</t>
  </si>
  <si>
    <t>Reimbursement / access pathway</t>
  </si>
  <si>
    <t>Country-specific specialist-care funding: Germany SPZ (children) and MZEB (adults; Aachen); France national PNDS / CRMR / DéfiScience network; Spain CSUR reference units (SJD, Virgen del Rocío) and regional XUEC; Italy national referral-centre network; UK NHS referrals — out-of-region referrals to Manchester may need funding agreement.</t>
  </si>
  <si>
    <t>Tier 1–2 centres sit within these pathways.</t>
  </si>
  <si>
    <t>No approved disease-modifying AS therapy; any future access will hinge on country HTA — not assessed here.</t>
  </si>
  <si>
    <t>Rehabilitation / chronic management</t>
  </si>
  <si>
    <t>Physio / OT / speech-language therapy and AAC; orthopaedics</t>
  </si>
  <si>
    <t>Lifelong multidisciplinary rehabilitation; AAC for ~85% non-speaking; scoliosis/hip surveillance.</t>
  </si>
  <si>
    <t>Munich (team of PT/OT/SLT, orthopaedics, AAC); Manchester MDT (SLT, physio, psychology); Leipzig SPZ.</t>
  </si>
  <si>
    <t>Local community therapy provision outside clinics is variable (France CAMSP/SESSAD; Germany Frühförderung/SPZ).</t>
  </si>
  <si>
    <t>Transition to adult care</t>
  </si>
  <si>
    <t>Defined paediatric-to-adult pathway; adult clinicians familiar with AS (REVEAL Cohort 2 includes 18–≤50 y).</t>
  </si>
  <si>
    <t>Aachen AZA (adults, Germany), Parc Taulí (paediatric + adult), Manchester (all ages).</t>
  </si>
  <si>
    <t>Adult capacity is thin in FR/IT/UK outside Manchester; Munich explicitly refers adults onward.</t>
  </si>
  <si>
    <t>Future-state</t>
  </si>
  <si>
    <t>ION582 administration capability and asset overlay</t>
  </si>
  <si>
    <t>Quarterly (Q12W) 80 mg lumbar intrathecal bolus after sedation; 60-week double-blind period then ~25-month long-term extension; Phase 3 topline 2H 2027.</t>
  </si>
  <si>
    <t>REVEAL/HALOS sites; ASO-experienced competitor-trial sites (Aspire, TANGELO).</t>
  </si>
  <si>
    <t>ASSET OVERLAY: ION582's quarterly intrathecal bolus is lighter than a loading-dose regimen (GTX-102 Aspire used monthly loading doses) but still needs sedation + LP capability. The addressable centre base is therefore the set of neuropaediatric centres with paediatric anaesthesia and LP capacity — wider than the ~10 AS-specialist clinics, narrower than all tertiary hospitals. Ionis states EU controls undergo a sham skin-prick, which sites must be able to run.</t>
  </si>
  <si>
    <t>RWE / registry participation capability</t>
  </si>
  <si>
    <t>Ability to enter longitudinal data: natural-history cohorts, national registers, ASF-style clinic data.</t>
  </si>
  <si>
    <t>Oxford NatHis (40 pts), Puerta de Hierro/Parc Taulí FAST Spain NH (≈40 pts), Leipzig German AS register, RISA (82 pts, closed), IReAS (213 pts, 14 Italian centres), Manchester register.</t>
  </si>
  <si>
    <t>Registries are national and not harmonised; RISA enrolment closed. A pan-EU4+UK RWE layer would need a common data model.</t>
  </si>
  <si>
    <t>Genotype expansion and post-trial access</t>
  </si>
  <si>
    <t>Capacity to serve UPD/ID patients (CHAMPION) and children &lt;2 y; LTE continuity.</t>
  </si>
  <si>
    <t>Centres already running HALOS (including &lt;2 y) and LTE.</t>
  </si>
  <si>
    <t>Plan referral flows for non-deletion/non-mutation genotypes now excluded from REVEAL.</t>
  </si>
  <si>
    <t>Authoritative source</t>
  </si>
  <si>
    <t>URL / reference</t>
  </si>
  <si>
    <t>What it provides</t>
  </si>
  <si>
    <t>P1 — Duis et al. 2022, consensus statement on standards of care for Angelman syndrome. Mol Genet Genomic Med 10(3):e1843</t>
  </si>
  <si>
    <t>https://doi.org/10.1002/mgg3.1843</t>
  </si>
  <si>
    <t>International AS standards-of-care consensus; author and affiliation list (no EU4+UK author identified in retrieved portion).</t>
  </si>
  <si>
    <t>P1 (national) — HAS portal: PNDS Syndrome d'Angelman (Nov 2021)</t>
  </si>
  <si>
    <t>https://www.has-sante.fr/jcms/p_3300847/fr/syndrome-d-angelman</t>
  </si>
  <si>
    <t>French national diagnosis and care protocol; prepared by the CRMR Déficiences intellectuelles de causes rares (not HAS-validated).</t>
  </si>
  <si>
    <t>PNDS Angelman — argumentaire (coordinator Dr Delphine Héron)</t>
  </si>
  <si>
    <t>https://www.has-sante.fr/upload/docs/application/pdf/2021-11/argumentaire_pnds_angelman_vf.pdf</t>
  </si>
  <si>
    <t>Names coordinating centre (APHP Sorbonne Université) and coordinator.</t>
  </si>
  <si>
    <t>ION582 REVEAL — ClinicalTrials.gov NCT06914609</t>
  </si>
  <si>
    <t>https://clinicaltrials.gov/study/NCT06914609</t>
  </si>
  <si>
    <t>Pivotal Phase 3 record (design, endpoints, locations; dynamic page).</t>
  </si>
  <si>
    <t>ION582 REVEAL — EU CTIS 2024-519711-33-01</t>
  </si>
  <si>
    <t>https://ctis.eu/trial/2024-519711-33-01</t>
  </si>
  <si>
    <t>EU status 'Ongoing, recruiting'; 4 EU/EEA countries, 8 sites; start 17 Apr 2026.</t>
  </si>
  <si>
    <t>REVEAL — trial mirror (status 'Active, not recruiting'; 41 locations; 156 enrolled)</t>
  </si>
  <si>
    <t>https://ctv.veeva.com/study/reveal-a-phase-3-study-of-ion582-in-angelman-syndrome</t>
  </si>
  <si>
    <t>Design (80 mg vs placebo; cohorts) and amendment Dec 2025; status conflicts with CTIS — see Verification_Flags.</t>
  </si>
  <si>
    <t>Ionis community letter — first EU REVEAL sites (Apr 2026)</t>
  </si>
  <si>
    <t>https://angelman.org/wp-content/uploads/2026/04/Ionis-REVEAL-sites-EU_community-letter.pdf</t>
  </si>
  <si>
    <t>LMU München and Parc Taulí Sabadell activated; DE/IT/PL/ES expansion; EU sham skin-prick control.</t>
  </si>
  <si>
    <t>Ionis community update (Dec 2025)</t>
  </si>
  <si>
    <t>https://angelman.org/wp-content/uploads/2025/12/Community-Update-ION582-Ionis_Dec-2025.pdf</t>
  </si>
  <si>
    <t>Dose focus to 80 mg; REVEAL enrolment reduced to ~158; CHAMPION (UPD/ID) planned; HALOS &lt;2 y.</t>
  </si>
  <si>
    <t>Ionis community update (Jul 2026)</t>
  </si>
  <si>
    <t>https://angelman.org/wp-content/uploads/2026/07/Ionis-update-REVEAL-July2026.pdf</t>
  </si>
  <si>
    <t>Cohort 1 enrolment complete; Cohort 2 still screening; results 2H 2027.</t>
  </si>
  <si>
    <t>Ionis IR — Cohort 1 complete (6 Jul 2026)</t>
  </si>
  <si>
    <t>https://ir.ionis.com/news-releases/news-release-details/ionis-completes-enrollment-pivotal-cohort-phase-3-reveal-study</t>
  </si>
  <si>
    <t>136 pivotal participants; topline 2H 2027.</t>
  </si>
  <si>
    <t>Ionis IR — FDA Breakthrough Therapy designation (9 Sep 2025)</t>
  </si>
  <si>
    <t>https://ir.ionis.com/news-releases/news-release-details/ionis-receives-us-fda-breakthrough-therapy-designation-ion582</t>
  </si>
  <si>
    <t>Regulatory premise; Orphan (FDA/EMA), Fast Track, Rare Pediatric.</t>
  </si>
  <si>
    <t>Ionis IR — first patient dosed, REVEAL (11 Jun 2025)</t>
  </si>
  <si>
    <t>https://ir.ionis.com/news-releases/news-release-details/first-patient-dosed-pivotal-phase-3-reveal-clinical-study-ion582</t>
  </si>
  <si>
    <t>Originator communication; primary endpoint Bayley-4 expressive communication.</t>
  </si>
  <si>
    <t>REVEAL clinical-trial handout (Ionis neurology)</t>
  </si>
  <si>
    <t>https://neurology.ionis.com/sites/default/files/2025-05/US-AS-2500001%20-%20Angelman%20Syndrome%20Clinical%20Trial%20Handout.pdf</t>
  </si>
  <si>
    <t>Q12W lumbar intrathecal bolus; eligibility; endpoints.</t>
  </si>
  <si>
    <t>HALOS — ClinicalTrials.gov NCT05127226 (ICH GCP mirror with site list)</t>
  </si>
  <si>
    <t>https://ichgcp.net/clinical-trials-registry/NCT05127226</t>
  </si>
  <si>
    <t>Sites incl. Necker (FR), AOU Pisana (IT), Oxford STRONG (UK); 71 participants.</t>
  </si>
  <si>
    <t>HALOS — AP-HP clinical trials registry</t>
  </si>
  <si>
    <t>https://www.aphp.fr/registre-des-essais-cliniques/etude-visant-evaluer-la-securite-la-tolerance-la-pharmacocinetique-et</t>
  </si>
  <si>
    <t>Coordinating investigator Nadia Bahi-Buisson; Necker; closed to inclusions.</t>
  </si>
  <si>
    <t>HALOS detailed results — BioSpace / Ionis (22 Jul 2024)</t>
  </si>
  <si>
    <t>https://www.biospace.com/ionis-announces-positive-detailed-results-from-the-halos-study-of-ion582-in-people-with-angelman-syndrome</t>
  </si>
  <si>
    <t>Originator results communication.</t>
  </si>
  <si>
    <t>HALOS Pisa — La Nazione (7 Nov 2023)</t>
  </si>
  <si>
    <t>https://www.lanazione.it/pisa/cronaca/sindrome-di-angelman-a-pisa-la-prima-sperimentazione-di-una-nuova-terapia-genica-4b50633f</t>
  </si>
  <si>
    <t>Battini named PI; first EU patients Pisa/France.</t>
  </si>
  <si>
    <t>IRCCS Stella Maris — Italian REVEAL centres and family meeting (21 May 2026)</t>
  </si>
  <si>
    <t>https://www.fsm.unipi.it/2026/05/21/angelman-trial-clinico-ionis-pisa-2026/</t>
  </si>
  <si>
    <t>Besta (D'Arrigo), Stella Maris (Battini), Medea (Danieli), Bambino Gesù (Pietrafusa).</t>
  </si>
  <si>
    <t>REVEAL UK — HRA summary IRAS 1011678</t>
  </si>
  <si>
    <t>https://www.hra.nhs.uk/planning-and-improving-research/application-summaries/research-summaries/ion582-cs2-reveal/</t>
  </si>
  <si>
    <t>UK ethics/regulatory record.</t>
  </si>
  <si>
    <t>FAST UK — second UK REVEAL site (GOSH) — LinkedIn post</t>
  </si>
  <si>
    <t>https://www.linkedin.com/posts/foundation-for-angelman-syndrome-therapeutics-uk-fast-uk_breaking-news-fast-uk-are-delighted-to-activity-7447768026013310976-GUqI</t>
  </si>
  <si>
    <t>Secondary (social-media) evidence for Oxford + GOSH REVEAL sites.</t>
  </si>
  <si>
    <t>Competitor — GTX-102 Aspire, NCT06617429 (ICH GCP mirror, site list)</t>
  </si>
  <si>
    <t>https://ichgcp.net/clinical-trials-registry/NCT06617429</t>
  </si>
  <si>
    <t>Sites: UKE Hamburg, Leipzig, Haunersche Kinderklinik; SJD, Parc Taulí, Puerta de Hierro, Virgen del Rocío; also Poland.</t>
  </si>
  <si>
    <t>Competitor — Aspire CTIS 2024-512600-19-00</t>
  </si>
  <si>
    <t>https://ctis.eu/trial/2024-512600-19-00</t>
  </si>
  <si>
    <t>EU registration; 4 EU countries, 10 sites.</t>
  </si>
  <si>
    <t>Competitor — Aspire results report (secondary source, 2–3 Sep 2026)</t>
  </si>
  <si>
    <t>https://novapharmanews.com/eu/news/apazunersen-aspire-angelman-misses-endpoints</t>
  </si>
  <si>
    <t>Reports primary and key secondary endpoints missed. Single secondary source — verify vs Ultragenyx.</t>
  </si>
  <si>
    <t>Competitor — GTX-102 programme page (Ultragenyx)</t>
  </si>
  <si>
    <t>https://www.ultragenyx.com/our-research/pipeline/gtx-102-for-angelman-syndrome/</t>
  </si>
  <si>
    <t>Programme description; Aurora study; designations.</t>
  </si>
  <si>
    <t>Competitor — rugonersen TANGELO Phase 1. Hipp JF et al. Nat Med 2025;31:2936–2945. PMID 40646322; NCT04428281</t>
  </si>
  <si>
    <t>https://www.nature.com/articles/s41591-025-03784-7</t>
  </si>
  <si>
    <t>Author list incl. Ana Roche Martínez (Parc Taulí) and Mercedes Serrano (SJD).</t>
  </si>
  <si>
    <t>Nature Index — affiliations on the TANGELO paper</t>
  </si>
  <si>
    <t>https://www.nature.com/nature-index/article/10.1038/s41591-025-03784-7</t>
  </si>
  <si>
    <t>Affiliations incl. Bambino Gesù, San Raffaele, Virgen del Rocío, IRSJD, I3PT.</t>
  </si>
  <si>
    <t>FAST news feed (competitor updates: rugonersen BEACON, alogabat, CHAMPION)</t>
  </si>
  <si>
    <t>https://cureangelman.org/news</t>
  </si>
  <si>
    <t>Headlines only retrieved; content of alogabat update (30 Mar 2026) not retrieved.</t>
  </si>
  <si>
    <t>ASF Clinic — Angelman Center Munich</t>
  </si>
  <si>
    <t>https://angelman.org/asf-clinics/angelman-center-munich/</t>
  </si>
  <si>
    <t>ASF clinic; Dr Christine Makowski.</t>
  </si>
  <si>
    <t>LMU Klinikum — Angelman Zentrum München</t>
  </si>
  <si>
    <t>https://www.lmu-klinikum.de/ispz/schwerpunkte/kinderneurologie-und-entwicklungsneurologie/angelman-zentrum-munchen/92177eec075dcc14</t>
  </si>
  <si>
    <t>AZM services; LADDER network; leadership (Makowski).</t>
  </si>
  <si>
    <t>AZM flyer (2021 — München Klinik Schwabing / kbo)</t>
  </si>
  <si>
    <t>https://www.muenchen-klinik.de/fileadmin/schwabing/kinder-jugendmedizin/Angelman-Zentrum-Muenchen-Flyer.pdf</t>
  </si>
  <si>
    <t>Earlier hosting and names (Burdach, Mall, von Hagen) — currency to verify.</t>
  </si>
  <si>
    <t>Angelman e.V. — Angelman-Zentren (Munich, Aachen, Leipzig)</t>
  </si>
  <si>
    <t>https://angelman.de/hilfe-fuer-eltern/angelman-zentren/</t>
  </si>
  <si>
    <t>German centre network and register.</t>
  </si>
  <si>
    <t>ASF Clinic — Angelman Center Leipzig</t>
  </si>
  <si>
    <t>https://angelman.org/asf-clinics/angelman-center-leipzig/</t>
  </si>
  <si>
    <t>AZL clinic lead Dr Janina Gburek-Augustat.</t>
  </si>
  <si>
    <t>AZL flyer (2025) — team and register contacts</t>
  </si>
  <si>
    <t>https://angelman.de/wp-content/uploads/2025/07/Falzflyer_Angelman-Zentrum_Leipzig_2025.pdf</t>
  </si>
  <si>
    <t>Merkenschlager, Lemke, Krey, Schumann; AS online register.</t>
  </si>
  <si>
    <t>Uniklinik RWTH Aachen — AZA (adults)</t>
  </si>
  <si>
    <t>https://www.ukaachen.de/kliniken-institute/mzeb/fuer-patienten-und-zuweiser/angelman-zentrum-aachen/</t>
  </si>
  <si>
    <t>Adult AS centre (MZEB); leader Dr Andrea Maier (news 17 Dec 2021).</t>
  </si>
  <si>
    <t>Manssen L et al. Precision Medicine in Angelman Syndrome. Neuropediatrics 2025;56:69–82. DOI 10.1055/a-2399-0191</t>
  </si>
  <si>
    <t>https://www.thieme-connect.com/products/ejournals/pdf/10.1055/a-2399-0191.pdf</t>
  </si>
  <si>
    <t>Munich + Leipzig authors.</t>
  </si>
  <si>
    <t>Pfarrer P et al. Significance of behavioural problems on family impact in AS. J Autism Dev Disord 2025. DOI 10.1007/s10803-025-06939-0</t>
  </si>
  <si>
    <t>https://link.springer.com/article/10.1007/s10803-025-06939-0</t>
  </si>
  <si>
    <t>Munich authors (von Hagen, Borggraefe, Manssen, Makowski).</t>
  </si>
  <si>
    <t>UKE Hamburg — Kinder- und Jugendmedizin</t>
  </si>
  <si>
    <t>https://www.uke.de/kliniken-institute/kliniken/kinder-und-jugendmedizin/index.html</t>
  </si>
  <si>
    <t>Director Prof. Ania C. Muntau.</t>
  </si>
  <si>
    <t>P4 — Orphanet: ERN-ITHACA members (Germany list; updated Mar 2022)</t>
  </si>
  <si>
    <t>https://www.orpha.net/es/expert-centres/network/485586</t>
  </si>
  <si>
    <t>German ITHACA HCPs (Tübingen, Erlangen, Hamburg UKE, etc.); coordinator Verloes.</t>
  </si>
  <si>
    <t>P4 — ERN-ITHACA: Who we are</t>
  </si>
  <si>
    <t>https://ern-ithaca.eu/about-us/who-we-are/</t>
  </si>
  <si>
    <t>Founded by Clayton-Smith / Manchester 2017; coordination to AP-HP Nov 2018; 71 centres.</t>
  </si>
  <si>
    <t>P4 — ERN-EpiCARE centre list</t>
  </si>
  <si>
    <t>https://epi-care.eu/ern-epicare-centres/</t>
  </si>
  <si>
    <t>Member centres by country (DE, FR, IT, ES).</t>
  </si>
  <si>
    <t>P4 — ERN-EpiCARE members page (coordination)</t>
  </si>
  <si>
    <t>https://epi-care.eu/members-of-epicare/</t>
  </si>
  <si>
    <t>Coordinator Prof. Alexis Arzimanoglou (SJD Barcelona).</t>
  </si>
  <si>
    <t>P4 — European Commission: European Reference Networks</t>
  </si>
  <si>
    <t>https://health.ec.europa.eu/rare-diseases-and-european-reference-networks/european-reference-networks_en</t>
  </si>
  <si>
    <t>24 ERNs; 1,606 specialised centres (Oct 2025).</t>
  </si>
  <si>
    <t>P4 — EC ERN Service Directory (live HCP search)</t>
  </si>
  <si>
    <t>https://webgate.ec.europa.eu/ernsd/screen/public?npage=ern_portal.html</t>
  </si>
  <si>
    <t>Use to verify current membership (not queried programmatically).</t>
  </si>
  <si>
    <t>France — HCL Lyon CRDI</t>
  </si>
  <si>
    <t>https://www.chu-lyon.fr/centre-crdi</t>
  </si>
  <si>
    <t>CRDI coordinators; ERN-ITHACA member; DéfiScience (coordinating centre at Pitié-Salpêtrière).</t>
  </si>
  <si>
    <t>France — PLEMaRa: CRDI CHU Lille</t>
  </si>
  <si>
    <t>https://www.plemara.fr/centre/defiscience-intellectuelle-de-causes-rares/</t>
  </si>
  <si>
    <t>Lists Angelman among covered conditions.</t>
  </si>
  <si>
    <t>France — FAST France eye-tracking study (EYEANGEL)</t>
  </si>
  <si>
    <t>https://www.fastfrance.org/fast-france-et-etude-sur-leye-tracking/</t>
  </si>
  <si>
    <t>AP-HP EYEANGEL (Boddaert); Bahi-Buisson on FAST SAB.</t>
  </si>
  <si>
    <t>Italy — OR.S.A. referral centres (patient association)</t>
  </si>
  <si>
    <t>https://sindromediangelman.org/centri-sintrome-di-angelman/</t>
  </si>
  <si>
    <t>Named clinicians (Cremonte, Viri, Romeo, Russo, Selicorni, Fazzi).</t>
  </si>
  <si>
    <t>Italy — RISA: Carriero PL et al. J Clin Med 2024;13:3520. DOI 10.3390/jcm13123520; NCT03650569</t>
  </si>
  <si>
    <t>https://www.mdpi.com/2077-0383/13/12/3520</t>
  </si>
  <si>
    <t>Italian Angelman Registry (FROM Bergamo).</t>
  </si>
  <si>
    <t>Italy — IReAS: Buoncuore G et al. Eur J Med Genet 2026;79:105067. DOI 10.1016/j.ejmg.2026.105067</t>
  </si>
  <si>
    <t>https://flore.unifi.it/handle/2158/1468395</t>
  </si>
  <si>
    <t>National registry, 14 referral centres, 213 patients; authors.</t>
  </si>
  <si>
    <t>Italy — Pietrafusa N et al. Epilepsia Open 2024;9(5):1997. PMID 39175208</t>
  </si>
  <si>
    <t>https://pmc.ncbi.nlm.nih.gov/articles/PMC11450666/</t>
  </si>
  <si>
    <t>Bambino Gesù AS epilepsy paper.</t>
  </si>
  <si>
    <t>Italy — Duma GM et al. AS cortical hyperexcitability (medRxiv preprint, Mar 2026)</t>
  </si>
  <si>
    <t>https://www.medrxiv.org/content/medrxiv/early/2026/03/24/2026.03.21.26348706.full.pdf</t>
  </si>
  <si>
    <t>Medea AS EEG research; not peer-reviewed.</t>
  </si>
  <si>
    <t>Italy — national rare-disease portal (AS treatment centres)</t>
  </si>
  <si>
    <t>https://www.malattierare.gov.it/centri_cura/elenco_per_malattia/130</t>
  </si>
  <si>
    <t>Official centre list (68 results; only partly retrieved).</t>
  </si>
  <si>
    <t>Spain — ASF Clinic Parc Taulí</t>
  </si>
  <si>
    <t>https://angelman.org/asf-clinics/parc-tauli/</t>
  </si>
  <si>
    <t>ASF clinic; Dr Ana Roche (head), Ariadna Ramírez.</t>
  </si>
  <si>
    <t>Spain — Parc Taulí / I3PT news (19 Sep 2025)</t>
  </si>
  <si>
    <t>https://www.tauli.cat/en/institut/actualitat/noticies/2025/09/el-parc-tauli-avaluara-una-nova-terapia-per-a-la-sindrome-dangelman/</t>
  </si>
  <si>
    <t>Aspire and Phase 1/2 participation; Spanish Aspire sites.</t>
  </si>
  <si>
    <t>Spain — FAST Spain Natural History Study, NCT06115109</t>
  </si>
  <si>
    <t>https://ichgcp.net/clinical-trials-registry/NCT06115109</t>
  </si>
  <si>
    <t>Puerta de Hierro sponsor; Parc Taulí site PI Ariadna Ramírez Mallafré.</t>
  </si>
  <si>
    <t>Spain — A-MANECE. Ruiz-Antorán B et al. Orphanet J Rare Dis 2018;13:144. DOI 10.1186/s13023-018-0891-6; PMID 30126448</t>
  </si>
  <si>
    <t>https://europepmc.org/article/pmc/6102900</t>
  </si>
  <si>
    <t>Minocycline RCT (n=32); Puerta de Hierro authors.</t>
  </si>
  <si>
    <t>Spain — SJD Neurology (accreditations)</t>
  </si>
  <si>
    <t>https://www.sjdhospitalbarcelona.org/en/medical-services/neurology</t>
  </si>
  <si>
    <t>ERN-RND, EpiCARE, MetabERN, EURO-NMD, CRANIO, RITA; CSUR.</t>
  </si>
  <si>
    <t>Spain — SEGCD: Instituto Pediátrico de Enfermedades Raras (SJD)</t>
  </si>
  <si>
    <t>https://segcd.org/centros/instituto-pediatrico-de-enfermedades-raras-hospital-sant-joan-de-deu/</t>
  </si>
  <si>
    <t>Contact specialists; Angelman among areas of interest.</t>
  </si>
  <si>
    <t>Spain — UAB research portal: Ana Roche Martinez</t>
  </si>
  <si>
    <t>https://portalrecerca.uab.cat/en/persons/ana-roche-martinez-2/</t>
  </si>
  <si>
    <t>h-index 25; PI of FAST Spain AS project (2026–29).</t>
  </si>
  <si>
    <t>UK — Manchester Centre for Genomic Medicine: Angelman Syndrome clinic</t>
  </si>
  <si>
    <t>https://www.mangen.co.uk/specialist-clinics/developmental-disorders/angelman-syndrome/</t>
  </si>
  <si>
    <t>Clinic team; AS Register.</t>
  </si>
  <si>
    <t>UK — Manchester Rare Conditions Centre: AS clinic</t>
  </si>
  <si>
    <t>https://www.mrcc.org.uk/clinical-diagnostics/other-specialist-clinical-services/angelman-syndrome-clinic/</t>
  </si>
  <si>
    <t>Clinic lead Dr Catherine Breen.</t>
  </si>
  <si>
    <t>UK — AngelmanUK: clinic and experts</t>
  </si>
  <si>
    <t>https://www.angelmanuk.org/about/experts/</t>
  </si>
  <si>
    <t>Clayton-Smith statement (ERN-ITHACA coordinator — outdated).</t>
  </si>
  <si>
    <t>UK — FAST UK AS Natural History Study (Oxford) NCT05100810</t>
  </si>
  <si>
    <t>https://cureangelman.org.uk/our-work/oxford-natural-history-study/</t>
  </si>
  <si>
    <t>CI Servais; PI Kini; 40 participants.</t>
  </si>
  <si>
    <t>UK — HRA: Angelman NatHis (IRAS 286566)</t>
  </si>
  <si>
    <t>https://www.hra.nhs.uk/planning-and-improving-research/application-summaries/research-summaries/angelman-nathis-fast-uk/</t>
  </si>
  <si>
    <t>UK regulatory record.</t>
  </si>
  <si>
    <t>UK — AngelmanUK: UK research (Chris Oliver, Mary Heald)</t>
  </si>
  <si>
    <t>https://www.angelmanuk.org/research/uk-research/</t>
  </si>
  <si>
    <t>Birmingham Cerebra Centre AS research.</t>
  </si>
  <si>
    <t>UK — Trickett J et al. Front Psychiatry 2019;10:874. DOI 10.3389/fpsyt.2019.00874</t>
  </si>
  <si>
    <t>https://research.birmingham.ac.uk/en/publications/multi-method-assessment-of-sleep-in-children-with-angelman-syndro/</t>
  </si>
  <si>
    <t>AS sleep (Oliver, Heald, Gringras, Richards).</t>
  </si>
  <si>
    <t>Review — Judson MC et al. Crossing the finish line towards a disease-modifying treatment for AS. J Neurodev Disord 2026;18:15</t>
  </si>
  <si>
    <t>https://pmc.ncbi.nlm.nih.gov/articles/PMC13001298/</t>
  </si>
  <si>
    <t>Expert review (incl. Scheffner, Sanders).</t>
  </si>
  <si>
    <t>Clinical — NHS GeNotes: Angelman syndrome</t>
  </si>
  <si>
    <t>https://www.genomicseducation.hee.nhs.uk/genotes/knowledge-hub/angelman-syndrome/</t>
  </si>
  <si>
    <t>Diagnostic testing pathway; ~20% without genetic diagnosis.</t>
  </si>
  <si>
    <t>CAVEATS</t>
  </si>
  <si>
    <t>Coverage limits</t>
  </si>
  <si>
    <t>ClinicalTrials.gov/CTIS site tables are dynamic; REVEAL has 41 global locations but only LMU and Parc Taulí (EU) plus Oxford/GOSH (UK) were confirmable, and four Italian centres via Italian communications. Individual PI names for most sites are not public (HALOS: Battini, Bahi-Buisson, UK Oxford site via NatHis leads; REVEAL: D'Arrigo, Danieli, Pietrafusa).</t>
  </si>
  <si>
    <t>Per-geography gaps</t>
  </si>
  <si>
    <t>UK post-Brexit (P4 N/A). France: no REVEAL site named. Germany: ERN membership of AS clinics unconfirmed. Italy: IReAS centre list not public; Tier 3 from a patient-association list. Spain: other REVEAL sites beyond Parc Taulí not confirmed.</t>
  </si>
  <si>
    <t>KOL-movement warnings</t>
  </si>
  <si>
    <t>KOLs move: Makowski (Schwabing/kbo → LMU), Arzimanoglou (Lyon → Barcelona), Clayton-Smith (ERN coordinator role ended 2018). Verify affiliations before outreach.</t>
  </si>
  <si>
    <t>Gap-fill disclosure</t>
  </si>
  <si>
    <t>Gap-fill order (a)→(c) used as described in README; (d) hospital directories only for named centres. Untraceable cells read 'Not publicly identified — verify locally'.</t>
  </si>
  <si>
    <t>Tier-4 omission rationale</t>
  </si>
  <si>
    <t>Tier 4 was not requested; AS is chronic and managed at specialist clinics, so community hospitals matter mainly for case-finding and pharmacovigilance — handled via patient-association and national-society channels.</t>
  </si>
  <si>
    <t>Trial-readiness validation checklist</t>
  </si>
  <si>
    <t>For each shortlisted site confirm: (1) paediatric LP/IT dosing under sedation without intubation; (2) trained Bayley-4/Vineland raters; (3) EEG capability; (4) adult pathway (Cohort 2); (5) current REVEAL/Aspire/BEACON commitments and screen-failure load; (6) ethics/CTIS authorisation for ION582 in that country; (7) genotype pipeline (deletion/mutation vs UPD/ID).</t>
  </si>
  <si>
    <t>Asset-specific signal — endorsers / evidence partners</t>
  </si>
  <si>
    <t>Evidence partners surfaced: HALOS investigators Battini (Pisa), Bahi-Buisson (Necker), Oxford/Servais-Kini; REVEAL site investigators D'Arrigo (Besta), Danieli (Medea), Pietrafusa (Bambino Gesù); LMU (Makowski) and Parc Taulí (Roche) as first EU sites. No named public endorsements of ION582 by EU4+UK clinicians were retrieved.</t>
  </si>
  <si>
    <t>Competitive context</t>
  </si>
  <si>
    <t>GTX-102 (Aspire) — reported failure of both endpoints (secondary source). Rugonersen — Phase 3 BEACON ongoing. Alogabat — a Roche update (30 Mar 2026) exists; content not retrieved. Competitor-trial investigators carry confidentiality / conflict considerations (COMPLIANCE-relevant).</t>
  </si>
  <si>
    <t>Scoring caveat</t>
  </si>
  <si>
    <t>KOL scores are evidence-floor scores from web sources (see README). No PubMed counts, CVs or congress programmes were pulled; conference column is 'Not verified' for all KOLs.</t>
  </si>
  <si>
    <t>URL verification</t>
  </si>
  <si>
    <t>URLs were taken from search results; automated HTTP checks from the build sandbox returned 403 (bot-blocking) for all tested hosts, so link resolution could not be machine-verified. Click-test before circulation.</t>
  </si>
  <si>
    <t>Regional-extension scope note</t>
  </si>
  <si>
    <t>No regional extension (MENA, LATAM, APAC, EU-rest) was added: scope is EU4+UK only. EU-specific columns therefore read Yes/No for DE/FR/IT/ES and N/A (post-Brexit) for UK.</t>
  </si>
  <si>
    <t>#</t>
  </si>
  <si>
    <t>Sheet</t>
  </si>
  <si>
    <t>Cell(s)</t>
  </si>
  <si>
    <t>Item</t>
  </si>
  <si>
    <t>Finding</t>
  </si>
  <si>
    <t>Recommended correction</t>
  </si>
  <si>
    <t>Verdict</t>
  </si>
  <si>
    <t>D63</t>
  </si>
  <si>
    <t>Clayton-Smith — ERN-ITHACA role</t>
  </si>
  <si>
    <t>AngelmanUK experts page presents her as ERN-ITHACA coordinator; ERN-ITHACA states coordination moved to AP-HP (Verloes) in Nov 2018 and the UK left the ERN framework post-Brexit.</t>
  </si>
  <si>
    <t>Describe as founding coordinator (2017–18); do not present as current. Retain Tier 1 on clinic/register role.</t>
  </si>
  <si>
    <t>OUTDATED</t>
  </si>
  <si>
    <t>E63</t>
  </si>
  <si>
    <t>Clayton-Smith — guideline authorship</t>
  </si>
  <si>
    <t>Self-reported involvement in AS consensus criteria / management guidelines; she is not in the retrieved Duis 2022 affiliation list; no guideline citation retrieved.</t>
  </si>
  <si>
    <t>Verify authorship via PubMed before treating as P1.</t>
  </si>
  <si>
    <t>PART-UNVERIFIABLE</t>
  </si>
  <si>
    <t>C2</t>
  </si>
  <si>
    <t>Makowski — affiliation currency</t>
  </si>
  <si>
    <t>2021 AZM flyer lists München Klinik Schwabing / kbo; current LMU and ASF pages list LMU iSPZ Hauner (Neuropediatrics 2025 also LMU). Both appear in different sources.</t>
  </si>
  <si>
    <t>Use LMU iSPZ Hauner; confirm any residual kbo role.</t>
  </si>
  <si>
    <t>C8, C7</t>
  </si>
  <si>
    <t>Burdach and Mall — only source is a 2021 flyer</t>
  </si>
  <si>
    <t>Roles (Chefarzt Schwabing; kbo medical director/TUM chair) come solely from the 2021 AZM flyer; AZM has since moved to LMU.</t>
  </si>
  <si>
    <t>Verify current positions or drop before outreach.</t>
  </si>
  <si>
    <t>C62</t>
  </si>
  <si>
    <t>Arzimanoglou — location</t>
  </si>
  <si>
    <t>Older French directories place him at HCL Lyon (to 2023); EpiCARE pages list him as Director of the Epilepsy Program at SJD Barcelona.</t>
  </si>
  <si>
    <t>Keep under Spain; epilepsy-network (AS-adjacent) KOL only.</t>
  </si>
  <si>
    <t>C41, C42, C43, C44, C45</t>
  </si>
  <si>
    <t>IReAS co-authors — affiliation not stated</t>
  </si>
  <si>
    <t>Names come from the IReAS (EJMG 2026) author list; the retrieved record shows no affiliations or titles.</t>
  </si>
  <si>
    <t>Look up affiliations in the full paper before use; titles were deliberately omitted.</t>
  </si>
  <si>
    <t>C73, C74, C76</t>
  </si>
  <si>
    <t>UK affiliations inferred or unstated</t>
  </si>
  <si>
    <t>Gringras (affiliation not in retrieved record); Cross (GOSH inferred from EpiCARE 2017 lead-centre appointment); Moss (Google Scholar listing only).</t>
  </si>
  <si>
    <t>Verify affiliations; Cross and Gringras are AS-adjacent.</t>
  </si>
  <si>
    <t>I42</t>
  </si>
  <si>
    <t>GOSH — REVEAL activation</t>
  </si>
  <si>
    <t>Evidence is a FAST UK LinkedIn post; no registry record or PI name retrieved.</t>
  </si>
  <si>
    <t>Confirm on ClinicalTrials.gov / HRA and identify PI.</t>
  </si>
  <si>
    <t>J18, J20, J21, J19</t>
  </si>
  <si>
    <t>Italian REVEAL sites — activation status</t>
  </si>
  <si>
    <t>Italian communications (21 May 2026) name four 'involved' centres; the April 2026 Ionis letter had only LMU and Parc Taulí activated and Italy 'in progress'. CTIS lists 8 EU sites in 4 countries without names retrieved.</t>
  </si>
  <si>
    <t>Verify activation per centre in CTIS / ClinicalTrials.gov.</t>
  </si>
  <si>
    <t>K2, K3, K4, K33, K34, K18, K21, K23</t>
  </si>
  <si>
    <t>P4 — ERN / national-reference membership unconfirmed</t>
  </si>
  <si>
    <t>These AS clinics were not found on the retrieved ERN-EpiCARE list or the (truncated) Orphanet ERN-ITHACA list; national-equivalent designations are asserted from clinic/IRCCS status only.</t>
  </si>
  <si>
    <t>Check the EC ERN Service Directory and national designations; Tier 1 'national equivalent' logic depends on this.</t>
  </si>
  <si>
    <t>I10</t>
  </si>
  <si>
    <t>Necker — HALOS wording</t>
  </si>
  <si>
    <t>HALOS is closed to inclusions (AP-HP registry; 'active, not recruiting'); Necker's ION582 role is historical and not a REVEAL site.</t>
  </si>
  <si>
    <t>Describe as HALOS (completed enrolment) site; do not imply active ION582 recruitment.</t>
  </si>
  <si>
    <t>WORDING</t>
  </si>
  <si>
    <t>B7</t>
  </si>
  <si>
    <t>Drug premise — REVEAL registry status</t>
  </si>
  <si>
    <t>CTIS: 'Ongoing, recruiting', 4 EU countries / 8 sites; mirror: 'Active, not recruiting', 156 enrolled, 41 locations; Ionis: Cohort 1 complete (136), ~158 target, Cohort 2 still screening. Primary-endpoint result not yet reported (topline 2H 2027).</t>
  </si>
  <si>
    <t>Treat REVEAL as 'recruiting adult cohort / pivotal cohort enrolled'; re-check registry before citing.</t>
  </si>
  <si>
    <t>A24</t>
  </si>
  <si>
    <t>Competitor premise — Aspire outcome</t>
  </si>
  <si>
    <t>'Missed both endpoints' rests on a single secondary news site (2–3 Sep 2026) plus FAST headlines; the Ultragenyx release was not retrieved.</t>
  </si>
  <si>
    <t>Verify against the Ultragenyx press release / 8-K before using in competitive messaging.</t>
  </si>
  <si>
    <t>B17</t>
  </si>
  <si>
    <t>P1 — no EU4+UK author in Duis 2022</t>
  </si>
  <si>
    <t>Only affiliations 1–16 of the author list were retrieved (European: Erasmus MC NL; Queen Fabiola BE). Claim of 'no EU4+UK author' is therefore not fully proven.</t>
  </si>
  <si>
    <t>Check full affiliation list (affiliations 17–35).</t>
  </si>
  <si>
    <t>D17</t>
  </si>
  <si>
    <t>Independence / compliance (COMPLIANCE-relevant)</t>
  </si>
  <si>
    <t>No listed KOL was found to be a pharma employee (Roche/Ionis/Ultragenyx staff in author lists were excluded). Potential conflicts: Bahi-Buisson sits on the FAST Scientific Advisory Board; Aspire/TANGELO site investigators (SJD, Parc Taulí, Puerta de Hierro, Leipzig, LMU, UKE, Bambino Gesù) have competitor relationships.</t>
  </si>
  <si>
    <t>Obtain declared interests / transparency-register entries before outreach; apply compliance review for competitor-trial investigators.</t>
  </si>
  <si>
    <t>H1</t>
  </si>
  <si>
    <t>Conference presentations — not evidenced</t>
  </si>
  <si>
    <t>No conference programme or abstract was retrieved for any of the 75 KOLs; every row reads 'Not verified'.</t>
  </si>
  <si>
    <t>Pull ASF/FAST Science Summit, EPNS, EAN, ESHG and ASHG abstracts and update the column and Speaker points.</t>
  </si>
  <si>
    <t>G29, G32</t>
  </si>
  <si>
    <t>KOL minimum (15 per country) not met for FR and UK</t>
  </si>
  <si>
    <t>France has 9 and the UK 14 named KOLs with a traceable AS signal; padding with unsourced names was refused.</t>
  </si>
  <si>
    <t>Pull the DéfiScience competence-centre list (FR) and NHS Highly Specialised / paediatric neurology directories (UK).</t>
  </si>
  <si>
    <t>B2, B33, B11</t>
  </si>
  <si>
    <t>Tier-1 calibration for AS</t>
  </si>
  <si>
    <t>None of these meets the literal compound criterion (P1/P3 coordinator + P4 + P2): LMU and Parc Taulí qualify as lead hubs with pivotal-trial sites; Pitié via national P1 guideline. P4 is unconfirmed for LMU and Parc Taulí.</t>
  </si>
  <si>
    <t>Accept calibration (README) or demote to Tier 2 pending ERN verification.</t>
  </si>
  <si>
    <t>G26, G24, G25, G27, G28</t>
  </si>
  <si>
    <t>Italian Tier 3 — provenance</t>
  </si>
  <si>
    <t>Rows rest on a patient-association list (OR.S.A.; date unknown) with no corroborating clinical source.</t>
  </si>
  <si>
    <t>Corroborate with the national rare-disease portal centre list (68 AS centres).</t>
  </si>
  <si>
    <t>A81, B81</t>
  </si>
  <si>
    <t>URL resolution</t>
  </si>
  <si>
    <t>Links were copied from search results; automated checks from the sandbox returned HTTP 403 for all tested hosts, so resolution is not machine-verified.</t>
  </si>
  <si>
    <t>Click-test the source table before circulation.</t>
  </si>
  <si>
    <t>Passed</t>
  </si>
  <si>
    <t>Checked and passed: asset facts (REVEAL NCT06914609 / EU CT 2024-519711-33-01; FDA BTD 9 Sep 2025; REVEAL amended Dec 2025 to 80 mg vs control; Cohort 1 136 participants, topline 2H 2027; HALOS NCT05127226, 71 participants); first EU REVEAL sites LMU + Parc Taulí; HALOS sites Necker / Pisa / Oxford; Aspire site list (DE: UKE, Leipzig, Munich; ES: SJD, Parc Taulí, Puerta de Hierro, Virgen del Rocío); France PNDS authorship (Héron, APHP Sorbonne Université); ASF clinics (Munich, Leipzig, Aachen, Parc Taulí) and named leads; natural-history studies (Oxford NCT05100810; FAST Spain NCT06115109) and their leads; A-MANECE and TANGELO author lists; IReAS/RISA papers. No KOL was found to be a pharma employee. These 20 flags are the only items requiring your decision; nothing was auto-corrected.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</si>
</sst>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ier &quot;0"/>
  </numFmts>
  <fonts count="10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4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9C0006"/>
      <name val="Arial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9C0006"/>
      <name val="Arial"/>
      <charset val="1"/>
    </font>
    <font>
      <u/>
      <sz val="10"/>
      <color rgb="FF0563C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1F3864"/>
        <bgColor rgb="FF333333"/>
      </patternFill>
    </fill>
    <fill>
      <patternFill patternType="solid">
        <fgColor rgb="FF2E75B6"/>
        <bgColor rgb="FF0563C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6" fillId="3" borderId="0" xfId="0" applyFont="1" applyFill="1" applyAlignment="1">
      <alignment vertical="center"/>
    </xf>
    <xf numFmtId="0" fontId="0" fillId="3" borderId="0" xfId="0" applyFill="1"/>
    <xf numFmtId="0" fontId="7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top" wrapText="1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/>
    <xf numFmtId="1" fontId="4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ature.com/nature-index/article/10.1038/s41591-025-03784-7" TargetMode="External"/><Relationship Id="rId21" Type="http://schemas.openxmlformats.org/officeDocument/2006/relationships/hyperlink" Target="https://ichgcp.net/clinical-trials-registry/NCT06617429" TargetMode="External"/><Relationship Id="rId34" Type="http://schemas.openxmlformats.org/officeDocument/2006/relationships/hyperlink" Target="https://www.ukaachen.de/kliniken-institute/mzeb/fuer-patienten-und-zuweiser/angelman-zentrum-aachen/" TargetMode="External"/><Relationship Id="rId42" Type="http://schemas.openxmlformats.org/officeDocument/2006/relationships/hyperlink" Target="https://health.ec.europa.eu/rare-diseases-and-european-reference-networks/european-reference-networks_en" TargetMode="External"/><Relationship Id="rId47" Type="http://schemas.openxmlformats.org/officeDocument/2006/relationships/hyperlink" Target="https://sindromediangelman.org/centri-sintrome-di-angelman/" TargetMode="External"/><Relationship Id="rId50" Type="http://schemas.openxmlformats.org/officeDocument/2006/relationships/hyperlink" Target="https://pmc.ncbi.nlm.nih.gov/articles/PMC11450666/" TargetMode="External"/><Relationship Id="rId55" Type="http://schemas.openxmlformats.org/officeDocument/2006/relationships/hyperlink" Target="https://ichgcp.net/clinical-trials-registry/NCT06115109" TargetMode="External"/><Relationship Id="rId63" Type="http://schemas.openxmlformats.org/officeDocument/2006/relationships/hyperlink" Target="https://cureangelman.org.uk/our-work/oxford-natural-history-study/" TargetMode="External"/><Relationship Id="rId68" Type="http://schemas.openxmlformats.org/officeDocument/2006/relationships/hyperlink" Target="https://www.genomicseducation.hee.nhs.uk/genotes/knowledge-hub/angelman-syndrome/" TargetMode="External"/><Relationship Id="rId7" Type="http://schemas.openxmlformats.org/officeDocument/2006/relationships/hyperlink" Target="https://angelman.org/wp-content/uploads/2026/04/Ionis-REVEAL-sites-EU_community-letter.pdf" TargetMode="External"/><Relationship Id="rId2" Type="http://schemas.openxmlformats.org/officeDocument/2006/relationships/hyperlink" Target="https://www.has-sante.fr/jcms/p_3300847/fr/syndrome-d-angelman" TargetMode="External"/><Relationship Id="rId16" Type="http://schemas.openxmlformats.org/officeDocument/2006/relationships/hyperlink" Target="https://www.biospace.com/ionis-announces-positive-detailed-results-from-the-halos-study-of-ion582-in-people-with-angelman-syndrome" TargetMode="External"/><Relationship Id="rId29" Type="http://schemas.openxmlformats.org/officeDocument/2006/relationships/hyperlink" Target="https://www.lmu-klinikum.de/ispz/schwerpunkte/kinderneurologie-und-entwicklungsneurologie/angelman-zentrum-munchen/92177eec075dcc14" TargetMode="External"/><Relationship Id="rId11" Type="http://schemas.openxmlformats.org/officeDocument/2006/relationships/hyperlink" Target="https://ir.ionis.com/news-releases/news-release-details/ionis-receives-us-fda-breakthrough-therapy-designation-ion582" TargetMode="External"/><Relationship Id="rId24" Type="http://schemas.openxmlformats.org/officeDocument/2006/relationships/hyperlink" Target="https://www.ultragenyx.com/our-research/pipeline/gtx-102-for-angelman-syndrome/" TargetMode="External"/><Relationship Id="rId32" Type="http://schemas.openxmlformats.org/officeDocument/2006/relationships/hyperlink" Target="https://angelman.org/asf-clinics/angelman-center-leipzig/" TargetMode="External"/><Relationship Id="rId37" Type="http://schemas.openxmlformats.org/officeDocument/2006/relationships/hyperlink" Target="https://www.uke.de/kliniken-institute/kliniken/kinder-und-jugendmedizin/index.html" TargetMode="External"/><Relationship Id="rId40" Type="http://schemas.openxmlformats.org/officeDocument/2006/relationships/hyperlink" Target="https://epi-care.eu/ern-epicare-centres/" TargetMode="External"/><Relationship Id="rId45" Type="http://schemas.openxmlformats.org/officeDocument/2006/relationships/hyperlink" Target="https://www.plemara.fr/centre/defiscience-intellectuelle-de-causes-rares/" TargetMode="External"/><Relationship Id="rId53" Type="http://schemas.openxmlformats.org/officeDocument/2006/relationships/hyperlink" Target="https://angelman.org/asf-clinics/parc-tauli/" TargetMode="External"/><Relationship Id="rId58" Type="http://schemas.openxmlformats.org/officeDocument/2006/relationships/hyperlink" Target="https://segcd.org/centros/instituto-pediatrico-de-enfermedades-raras-hospital-sant-joan-de-deu/" TargetMode="External"/><Relationship Id="rId66" Type="http://schemas.openxmlformats.org/officeDocument/2006/relationships/hyperlink" Target="https://research.birmingham.ac.uk/en/publications/multi-method-assessment-of-sleep-in-children-with-angelman-syndro/" TargetMode="External"/><Relationship Id="rId5" Type="http://schemas.openxmlformats.org/officeDocument/2006/relationships/hyperlink" Target="https://ctis.eu/trial/2024-519711-33-01" TargetMode="External"/><Relationship Id="rId61" Type="http://schemas.openxmlformats.org/officeDocument/2006/relationships/hyperlink" Target="https://www.mrcc.org.uk/clinical-diagnostics/other-specialist-clinical-services/angelman-syndrome-clinic/" TargetMode="External"/><Relationship Id="rId19" Type="http://schemas.openxmlformats.org/officeDocument/2006/relationships/hyperlink" Target="https://www.hra.nhs.uk/planning-and-improving-research/application-summaries/research-summaries/ion582-cs2-reveal/" TargetMode="External"/><Relationship Id="rId14" Type="http://schemas.openxmlformats.org/officeDocument/2006/relationships/hyperlink" Target="https://ichgcp.net/clinical-trials-registry/NCT05127226" TargetMode="External"/><Relationship Id="rId22" Type="http://schemas.openxmlformats.org/officeDocument/2006/relationships/hyperlink" Target="https://ctis.eu/trial/2024-512600-19-00" TargetMode="External"/><Relationship Id="rId27" Type="http://schemas.openxmlformats.org/officeDocument/2006/relationships/hyperlink" Target="https://cureangelman.org/news" TargetMode="External"/><Relationship Id="rId30" Type="http://schemas.openxmlformats.org/officeDocument/2006/relationships/hyperlink" Target="https://www.muenchen-klinik.de/fileadmin/schwabing/kinder-jugendmedizin/Angelman-Zentrum-Muenchen-Flyer.pdf" TargetMode="External"/><Relationship Id="rId35" Type="http://schemas.openxmlformats.org/officeDocument/2006/relationships/hyperlink" Target="https://www.thieme-connect.com/products/ejournals/pdf/10.1055/a-2399-0191.pdf" TargetMode="External"/><Relationship Id="rId43" Type="http://schemas.openxmlformats.org/officeDocument/2006/relationships/hyperlink" Target="https://webgate.ec.europa.eu/ernsd/screen/public?npage=ern_portal.html" TargetMode="External"/><Relationship Id="rId48" Type="http://schemas.openxmlformats.org/officeDocument/2006/relationships/hyperlink" Target="https://www.mdpi.com/2077-0383/13/12/3520" TargetMode="External"/><Relationship Id="rId56" Type="http://schemas.openxmlformats.org/officeDocument/2006/relationships/hyperlink" Target="https://europepmc.org/article/pmc/6102900" TargetMode="External"/><Relationship Id="rId64" Type="http://schemas.openxmlformats.org/officeDocument/2006/relationships/hyperlink" Target="https://www.hra.nhs.uk/planning-and-improving-research/application-summaries/research-summaries/angelman-nathis-fast-uk/" TargetMode="External"/><Relationship Id="rId8" Type="http://schemas.openxmlformats.org/officeDocument/2006/relationships/hyperlink" Target="https://angelman.org/wp-content/uploads/2025/12/Community-Update-ION582-Ionis_Dec-2025.pdf" TargetMode="External"/><Relationship Id="rId51" Type="http://schemas.openxmlformats.org/officeDocument/2006/relationships/hyperlink" Target="https://www.medrxiv.org/content/medrxiv/early/2026/03/24/2026.03.21.26348706.full.pdf" TargetMode="External"/><Relationship Id="rId3" Type="http://schemas.openxmlformats.org/officeDocument/2006/relationships/hyperlink" Target="https://www.has-sante.fr/upload/docs/application/pdf/2021-11/argumentaire_pnds_angelman_vf.pdf" TargetMode="External"/><Relationship Id="rId12" Type="http://schemas.openxmlformats.org/officeDocument/2006/relationships/hyperlink" Target="https://ir.ionis.com/news-releases/news-release-details/first-patient-dosed-pivotal-phase-3-reveal-clinical-study-ion582" TargetMode="External"/><Relationship Id="rId17" Type="http://schemas.openxmlformats.org/officeDocument/2006/relationships/hyperlink" Target="https://www.lanazione.it/pisa/cronaca/sindrome-di-angelman-a-pisa-la-prima-sperimentazione-di-una-nuova-terapia-genica-4b50633f" TargetMode="External"/><Relationship Id="rId25" Type="http://schemas.openxmlformats.org/officeDocument/2006/relationships/hyperlink" Target="https://www.nature.com/articles/s41591-025-03784-7" TargetMode="External"/><Relationship Id="rId33" Type="http://schemas.openxmlformats.org/officeDocument/2006/relationships/hyperlink" Target="https://angelman.de/wp-content/uploads/2025/07/Falzflyer_Angelman-Zentrum_Leipzig_2025.pdf" TargetMode="External"/><Relationship Id="rId38" Type="http://schemas.openxmlformats.org/officeDocument/2006/relationships/hyperlink" Target="https://www.orpha.net/es/expert-centres/network/485586" TargetMode="External"/><Relationship Id="rId46" Type="http://schemas.openxmlformats.org/officeDocument/2006/relationships/hyperlink" Target="https://www.fastfrance.org/fast-france-et-etude-sur-leye-tracking/" TargetMode="External"/><Relationship Id="rId59" Type="http://schemas.openxmlformats.org/officeDocument/2006/relationships/hyperlink" Target="https://portalrecerca.uab.cat/en/persons/ana-roche-martinez-2/" TargetMode="External"/><Relationship Id="rId67" Type="http://schemas.openxmlformats.org/officeDocument/2006/relationships/hyperlink" Target="https://pmc.ncbi.nlm.nih.gov/articles/PMC13001298/" TargetMode="External"/><Relationship Id="rId20" Type="http://schemas.openxmlformats.org/officeDocument/2006/relationships/hyperlink" Target="https://www.linkedin.com/posts/foundation-for-angelman-syndrome-therapeutics-uk-fast-uk_breaking-news-fast-uk-are-delighted-to-activity-7447768026013310976-GUqI" TargetMode="External"/><Relationship Id="rId41" Type="http://schemas.openxmlformats.org/officeDocument/2006/relationships/hyperlink" Target="https://epi-care.eu/members-of-epicare/" TargetMode="External"/><Relationship Id="rId54" Type="http://schemas.openxmlformats.org/officeDocument/2006/relationships/hyperlink" Target="https://www.tauli.cat/en/institut/actualitat/noticies/2025/09/el-parc-tauli-avaluara-una-nova-terapia-per-a-la-sindrome-dangelman/" TargetMode="External"/><Relationship Id="rId62" Type="http://schemas.openxmlformats.org/officeDocument/2006/relationships/hyperlink" Target="https://www.angelmanuk.org/about/experts/" TargetMode="External"/><Relationship Id="rId1" Type="http://schemas.openxmlformats.org/officeDocument/2006/relationships/hyperlink" Target="https://doi.org/10.1002/mgg3.1843" TargetMode="External"/><Relationship Id="rId6" Type="http://schemas.openxmlformats.org/officeDocument/2006/relationships/hyperlink" Target="https://ctv.veeva.com/study/reveal-a-phase-3-study-of-ion582-in-angelman-syndrome" TargetMode="External"/><Relationship Id="rId15" Type="http://schemas.openxmlformats.org/officeDocument/2006/relationships/hyperlink" Target="https://www.aphp.fr/registre-des-essais-cliniques/etude-visant-evaluer-la-securite-la-tolerance-la-pharmacocinetique-et" TargetMode="External"/><Relationship Id="rId23" Type="http://schemas.openxmlformats.org/officeDocument/2006/relationships/hyperlink" Target="https://novapharmanews.com/eu/news/apazunersen-aspire-angelman-misses-endpoints" TargetMode="External"/><Relationship Id="rId28" Type="http://schemas.openxmlformats.org/officeDocument/2006/relationships/hyperlink" Target="https://angelman.org/asf-clinics/angelman-center-munich/" TargetMode="External"/><Relationship Id="rId36" Type="http://schemas.openxmlformats.org/officeDocument/2006/relationships/hyperlink" Target="https://link.springer.com/article/10.1007/s10803-025-06939-0" TargetMode="External"/><Relationship Id="rId49" Type="http://schemas.openxmlformats.org/officeDocument/2006/relationships/hyperlink" Target="https://flore.unifi.it/handle/2158/1468395" TargetMode="External"/><Relationship Id="rId57" Type="http://schemas.openxmlformats.org/officeDocument/2006/relationships/hyperlink" Target="https://www.sjdhospitalbarcelona.org/en/medical-services/neurology" TargetMode="External"/><Relationship Id="rId10" Type="http://schemas.openxmlformats.org/officeDocument/2006/relationships/hyperlink" Target="https://ir.ionis.com/news-releases/news-release-details/ionis-completes-enrollment-pivotal-cohort-phase-3-reveal-study" TargetMode="External"/><Relationship Id="rId31" Type="http://schemas.openxmlformats.org/officeDocument/2006/relationships/hyperlink" Target="https://angelman.de/hilfe-fuer-eltern/angelman-zentren/" TargetMode="External"/><Relationship Id="rId44" Type="http://schemas.openxmlformats.org/officeDocument/2006/relationships/hyperlink" Target="https://www.chu-lyon.fr/centre-crdi" TargetMode="External"/><Relationship Id="rId52" Type="http://schemas.openxmlformats.org/officeDocument/2006/relationships/hyperlink" Target="https://www.malattierare.gov.it/centri_cura/elenco_per_malattia/130" TargetMode="External"/><Relationship Id="rId60" Type="http://schemas.openxmlformats.org/officeDocument/2006/relationships/hyperlink" Target="https://www.mangen.co.uk/specialist-clinics/developmental-disorders/angelman-syndrome/" TargetMode="External"/><Relationship Id="rId65" Type="http://schemas.openxmlformats.org/officeDocument/2006/relationships/hyperlink" Target="https://www.angelmanuk.org/research/uk-research/" TargetMode="External"/><Relationship Id="rId4" Type="http://schemas.openxmlformats.org/officeDocument/2006/relationships/hyperlink" Target="https://clinicaltrials.gov/study/NCT06914609" TargetMode="External"/><Relationship Id="rId9" Type="http://schemas.openxmlformats.org/officeDocument/2006/relationships/hyperlink" Target="https://angelman.org/wp-content/uploads/2026/07/Ionis-update-REVEAL-July2026.pdf" TargetMode="External"/><Relationship Id="rId13" Type="http://schemas.openxmlformats.org/officeDocument/2006/relationships/hyperlink" Target="https://neurology.ionis.com/sites/default/files/2025-05/US-AS-2500001%20-%20Angelman%20Syndrome%20Clinical%20Trial%20Handout.pdf" TargetMode="External"/><Relationship Id="rId18" Type="http://schemas.openxmlformats.org/officeDocument/2006/relationships/hyperlink" Target="https://www.fsm.unipi.it/2026/05/21/angelman-trial-clinico-ionis-pisa-2026/" TargetMode="External"/><Relationship Id="rId39" Type="http://schemas.openxmlformats.org/officeDocument/2006/relationships/hyperlink" Target="https://ern-ithaca.eu/about-us/who-we-a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showGridLines="0" tabSelected="1" zoomScaleNormal="100" workbookViewId="0"/>
  </sheetViews>
  <sheetFormatPr defaultColWidth="8.73046875" defaultRowHeight="15" customHeight="1" x14ac:dyDescent="0.45"/>
  <cols>
    <col min="1" max="1" width="40" customWidth="1"/>
    <col min="2" max="2" width="135" customWidth="1"/>
  </cols>
  <sheetData>
    <row r="1" spans="1:2" ht="18" customHeight="1" x14ac:dyDescent="0.45">
      <c r="A1" s="4" t="s">
        <v>0</v>
      </c>
      <c r="B1" s="5" t="s">
        <v>1</v>
      </c>
    </row>
    <row r="2" spans="1:2" ht="18" customHeight="1" x14ac:dyDescent="0.45">
      <c r="A2" s="6" t="s">
        <v>2</v>
      </c>
      <c r="B2" s="1" t="s">
        <v>3</v>
      </c>
    </row>
    <row r="3" spans="1:2" ht="30" customHeight="1" x14ac:dyDescent="0.45">
      <c r="A3" s="6" t="s">
        <v>4</v>
      </c>
      <c r="B3" s="1" t="s">
        <v>5</v>
      </c>
    </row>
    <row r="4" spans="1:2" ht="18" customHeight="1" x14ac:dyDescent="0.45">
      <c r="A4" s="6" t="s">
        <v>6</v>
      </c>
      <c r="B4" s="1" t="s">
        <v>7</v>
      </c>
    </row>
    <row r="5" spans="1:2" ht="18" customHeight="1" x14ac:dyDescent="0.45">
      <c r="A5" s="6" t="s">
        <v>8</v>
      </c>
      <c r="B5" s="1" t="s">
        <v>9</v>
      </c>
    </row>
    <row r="6" spans="1:2" ht="56.25" customHeight="1" x14ac:dyDescent="0.45">
      <c r="A6" s="6" t="s">
        <v>10</v>
      </c>
      <c r="B6" s="1" t="s">
        <v>11</v>
      </c>
    </row>
    <row r="7" spans="1:2" ht="109.5" customHeight="1" x14ac:dyDescent="0.45">
      <c r="A7" s="6" t="s">
        <v>12</v>
      </c>
      <c r="B7" s="7" t="s">
        <v>13</v>
      </c>
    </row>
    <row r="8" spans="1:2" ht="24" customHeight="1" x14ac:dyDescent="0.45">
      <c r="A8" s="8" t="s">
        <v>14</v>
      </c>
      <c r="B8" s="9"/>
    </row>
    <row r="9" spans="1:2" ht="18" customHeight="1" x14ac:dyDescent="0.45">
      <c r="A9" s="6" t="s">
        <v>15</v>
      </c>
      <c r="B9" s="1" t="s">
        <v>16</v>
      </c>
    </row>
    <row r="10" spans="1:2" ht="18" customHeight="1" x14ac:dyDescent="0.45">
      <c r="A10" s="6" t="s">
        <v>17</v>
      </c>
      <c r="B10" s="1" t="s">
        <v>18</v>
      </c>
    </row>
    <row r="11" spans="1:2" ht="30" customHeight="1" x14ac:dyDescent="0.45">
      <c r="A11" s="6" t="s">
        <v>19</v>
      </c>
      <c r="B11" s="1" t="s">
        <v>20</v>
      </c>
    </row>
    <row r="12" spans="1:2" ht="18" customHeight="1" x14ac:dyDescent="0.45">
      <c r="A12" s="6" t="s">
        <v>21</v>
      </c>
      <c r="B12" s="1" t="s">
        <v>22</v>
      </c>
    </row>
    <row r="13" spans="1:2" ht="30" customHeight="1" x14ac:dyDescent="0.45">
      <c r="A13" s="6" t="s">
        <v>23</v>
      </c>
      <c r="B13" s="1" t="s">
        <v>24</v>
      </c>
    </row>
    <row r="14" spans="1:2" ht="18" customHeight="1" x14ac:dyDescent="0.45">
      <c r="A14" s="6" t="s">
        <v>25</v>
      </c>
      <c r="B14" s="1" t="s">
        <v>26</v>
      </c>
    </row>
    <row r="15" spans="1:2" ht="18" customHeight="1" x14ac:dyDescent="0.45">
      <c r="A15" s="6" t="s">
        <v>27</v>
      </c>
      <c r="B15" s="1" t="s">
        <v>28</v>
      </c>
    </row>
    <row r="16" spans="1:2" ht="24" customHeight="1" x14ac:dyDescent="0.45">
      <c r="A16" s="8" t="s">
        <v>29</v>
      </c>
      <c r="B16" s="9"/>
    </row>
    <row r="17" spans="1:2" ht="82.5" customHeight="1" x14ac:dyDescent="0.45">
      <c r="A17" s="6" t="s">
        <v>30</v>
      </c>
      <c r="B17" s="7" t="s">
        <v>31</v>
      </c>
    </row>
    <row r="18" spans="1:2" ht="69.75" customHeight="1" x14ac:dyDescent="0.45">
      <c r="A18" s="6" t="s">
        <v>32</v>
      </c>
      <c r="B18" s="1" t="s">
        <v>33</v>
      </c>
    </row>
    <row r="19" spans="1:2" ht="56.25" customHeight="1" x14ac:dyDescent="0.45">
      <c r="A19" s="6" t="s">
        <v>34</v>
      </c>
      <c r="B19" s="1" t="s">
        <v>35</v>
      </c>
    </row>
    <row r="20" spans="1:2" ht="82.5" customHeight="1" x14ac:dyDescent="0.45">
      <c r="A20" s="6" t="s">
        <v>36</v>
      </c>
      <c r="B20" s="1" t="s">
        <v>37</v>
      </c>
    </row>
    <row r="21" spans="1:2" ht="43.5" customHeight="1" x14ac:dyDescent="0.45">
      <c r="A21" s="6" t="s">
        <v>38</v>
      </c>
      <c r="B21" s="1" t="s">
        <v>39</v>
      </c>
    </row>
    <row r="22" spans="1:2" ht="24" customHeight="1" x14ac:dyDescent="0.45">
      <c r="A22" s="8" t="s">
        <v>40</v>
      </c>
      <c r="B22" s="9"/>
    </row>
    <row r="23" spans="1:2" ht="82.5" customHeight="1" x14ac:dyDescent="0.45">
      <c r="A23" s="6" t="s">
        <v>41</v>
      </c>
      <c r="B23" s="1" t="s">
        <v>42</v>
      </c>
    </row>
    <row r="24" spans="1:2" ht="30" customHeight="1" x14ac:dyDescent="0.45">
      <c r="A24" s="6" t="s">
        <v>43</v>
      </c>
      <c r="B24" s="1" t="s">
        <v>44</v>
      </c>
    </row>
    <row r="25" spans="1:2" ht="30" customHeight="1" x14ac:dyDescent="0.45">
      <c r="A25" s="6" t="s">
        <v>45</v>
      </c>
      <c r="B25" s="1" t="s">
        <v>46</v>
      </c>
    </row>
    <row r="26" spans="1:2" ht="43.5" customHeight="1" x14ac:dyDescent="0.45">
      <c r="A26" s="6" t="s">
        <v>47</v>
      </c>
      <c r="B26" s="1" t="s">
        <v>48</v>
      </c>
    </row>
    <row r="27" spans="1:2" ht="24" customHeight="1" x14ac:dyDescent="0.45">
      <c r="A27" s="8" t="s">
        <v>49</v>
      </c>
      <c r="B27" s="9"/>
    </row>
    <row r="28" spans="1:2" ht="175.5" customHeight="1" x14ac:dyDescent="0.45">
      <c r="A28" s="6" t="s">
        <v>50</v>
      </c>
      <c r="B28" s="1" t="s">
        <v>51</v>
      </c>
    </row>
    <row r="29" spans="1:2" ht="82.5" customHeight="1" x14ac:dyDescent="0.45">
      <c r="A29" s="6" t="s">
        <v>52</v>
      </c>
      <c r="B29" s="1" t="s">
        <v>53</v>
      </c>
    </row>
    <row r="30" spans="1:2" ht="24" customHeight="1" x14ac:dyDescent="0.45">
      <c r="A30" s="8" t="s">
        <v>54</v>
      </c>
      <c r="B30" s="9"/>
    </row>
    <row r="31" spans="1:2" ht="30" customHeight="1" x14ac:dyDescent="0.45">
      <c r="A31" s="6" t="s">
        <v>55</v>
      </c>
      <c r="B31" s="1" t="s">
        <v>56</v>
      </c>
    </row>
    <row r="32" spans="1:2" ht="30" customHeight="1" x14ac:dyDescent="0.45">
      <c r="A32" s="6" t="s">
        <v>57</v>
      </c>
      <c r="B32" s="1" t="s">
        <v>58</v>
      </c>
    </row>
    <row r="33" spans="1:2" ht="43.5" customHeight="1" x14ac:dyDescent="0.45">
      <c r="A33" s="6" t="s">
        <v>59</v>
      </c>
      <c r="B33" s="1" t="s">
        <v>60</v>
      </c>
    </row>
    <row r="34" spans="1:2" ht="30" customHeight="1" x14ac:dyDescent="0.45">
      <c r="A34" s="6" t="s">
        <v>61</v>
      </c>
      <c r="B34" s="1" t="s">
        <v>62</v>
      </c>
    </row>
    <row r="35" spans="1:2" ht="30" customHeight="1" x14ac:dyDescent="0.45">
      <c r="A35" s="6" t="s">
        <v>63</v>
      </c>
      <c r="B35" s="1" t="s">
        <v>64</v>
      </c>
    </row>
    <row r="36" spans="1:2" ht="56.25" customHeight="1" x14ac:dyDescent="0.45">
      <c r="A36" s="6" t="s">
        <v>65</v>
      </c>
      <c r="B36" s="1" t="s">
        <v>66</v>
      </c>
    </row>
    <row r="37" spans="1:2" ht="30" customHeight="1" x14ac:dyDescent="0.45">
      <c r="A37" s="6" t="s">
        <v>67</v>
      </c>
      <c r="B37" s="1" t="s">
        <v>68</v>
      </c>
    </row>
    <row r="38" spans="1:2" ht="24" customHeight="1" x14ac:dyDescent="0.45">
      <c r="A38" s="8" t="s">
        <v>69</v>
      </c>
      <c r="B38" s="9"/>
    </row>
    <row r="39" spans="1:2" ht="56.25" customHeight="1" x14ac:dyDescent="0.45">
      <c r="A39" s="6" t="s">
        <v>70</v>
      </c>
      <c r="B39" s="1" t="s">
        <v>71</v>
      </c>
    </row>
    <row r="40" spans="1:2" ht="30" customHeight="1" x14ac:dyDescent="0.45">
      <c r="A40" s="6" t="s">
        <v>72</v>
      </c>
      <c r="B40" s="1" t="s">
        <v>73</v>
      </c>
    </row>
    <row r="41" spans="1:2" ht="30" customHeight="1" x14ac:dyDescent="0.45">
      <c r="A41" s="6" t="s">
        <v>74</v>
      </c>
      <c r="B41" s="1" t="s">
        <v>75</v>
      </c>
    </row>
    <row r="42" spans="1:2" ht="18" customHeight="1" x14ac:dyDescent="0.45">
      <c r="A42" s="6" t="s">
        <v>76</v>
      </c>
      <c r="B42" s="1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"/>
  <sheetViews>
    <sheetView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14" customWidth="1"/>
    <col min="2" max="2" width="6" customWidth="1"/>
    <col min="3" max="3" width="16" customWidth="1"/>
    <col min="4" max="4" width="34" customWidth="1"/>
    <col min="5" max="5" width="38" customWidth="1"/>
    <col min="6" max="6" width="40" customWidth="1"/>
    <col min="7" max="7" width="58" customWidth="1"/>
    <col min="8" max="8" width="30" customWidth="1"/>
    <col min="9" max="9" width="42" customWidth="1"/>
    <col min="10" max="11" width="34" customWidth="1"/>
    <col min="12" max="12" width="16" customWidth="1"/>
    <col min="13" max="13" width="60" customWidth="1"/>
  </cols>
  <sheetData>
    <row r="1" spans="1:13" ht="48" customHeight="1" x14ac:dyDescent="0.45">
      <c r="A1" s="10" t="s">
        <v>78</v>
      </c>
      <c r="B1" s="10" t="s">
        <v>79</v>
      </c>
      <c r="C1" s="10" t="s">
        <v>80</v>
      </c>
      <c r="D1" s="10" t="s">
        <v>81</v>
      </c>
      <c r="E1" s="10" t="s">
        <v>82</v>
      </c>
      <c r="F1" s="10" t="s">
        <v>83</v>
      </c>
      <c r="G1" s="10" t="s">
        <v>84</v>
      </c>
      <c r="H1" s="10" t="s">
        <v>85</v>
      </c>
      <c r="I1" s="10" t="s">
        <v>86</v>
      </c>
      <c r="J1" s="10" t="s">
        <v>87</v>
      </c>
      <c r="K1" s="10" t="s">
        <v>88</v>
      </c>
      <c r="L1" s="10" t="s">
        <v>89</v>
      </c>
      <c r="M1" s="10" t="s">
        <v>90</v>
      </c>
    </row>
    <row r="2" spans="1:13" ht="69.75" customHeight="1" x14ac:dyDescent="0.45">
      <c r="A2" s="3" t="s">
        <v>91</v>
      </c>
      <c r="B2" s="11">
        <v>1</v>
      </c>
      <c r="C2" s="3" t="s">
        <v>92</v>
      </c>
      <c r="D2" s="3" t="s">
        <v>93</v>
      </c>
      <c r="E2" s="3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3" t="s">
        <v>99</v>
      </c>
      <c r="K2" s="2" t="s">
        <v>100</v>
      </c>
      <c r="L2" s="12" t="s">
        <v>101</v>
      </c>
      <c r="M2" s="3" t="s">
        <v>102</v>
      </c>
    </row>
    <row r="3" spans="1:13" ht="69.75" customHeight="1" x14ac:dyDescent="0.45">
      <c r="A3" s="3" t="s">
        <v>91</v>
      </c>
      <c r="B3" s="12">
        <v>1</v>
      </c>
      <c r="C3" s="3" t="s">
        <v>103</v>
      </c>
      <c r="D3" s="3" t="s">
        <v>104</v>
      </c>
      <c r="E3" s="3" t="s">
        <v>105</v>
      </c>
      <c r="F3" s="3" t="s">
        <v>106</v>
      </c>
      <c r="G3" s="3" t="s">
        <v>107</v>
      </c>
      <c r="H3" s="3" t="s">
        <v>97</v>
      </c>
      <c r="I3" s="3" t="s">
        <v>108</v>
      </c>
      <c r="J3" s="3" t="s">
        <v>109</v>
      </c>
      <c r="K3" s="2" t="s">
        <v>110</v>
      </c>
      <c r="L3" s="12" t="s">
        <v>101</v>
      </c>
      <c r="M3" s="3" t="s">
        <v>111</v>
      </c>
    </row>
    <row r="4" spans="1:13" ht="56.25" customHeight="1" x14ac:dyDescent="0.45">
      <c r="A4" s="3" t="s">
        <v>91</v>
      </c>
      <c r="B4" s="12">
        <v>2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116</v>
      </c>
      <c r="H4" s="3" t="s">
        <v>117</v>
      </c>
      <c r="I4" s="3" t="s">
        <v>118</v>
      </c>
      <c r="J4" s="3" t="s">
        <v>117</v>
      </c>
      <c r="K4" s="2" t="s">
        <v>119</v>
      </c>
      <c r="L4" s="12" t="s">
        <v>101</v>
      </c>
      <c r="M4" s="3" t="s">
        <v>120</v>
      </c>
    </row>
    <row r="5" spans="1:13" ht="43.5" customHeight="1" x14ac:dyDescent="0.45">
      <c r="A5" s="3" t="s">
        <v>91</v>
      </c>
      <c r="B5" s="12">
        <v>2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117</v>
      </c>
      <c r="I5" s="3" t="s">
        <v>126</v>
      </c>
      <c r="J5" s="3" t="s">
        <v>127</v>
      </c>
      <c r="K5" s="3" t="s">
        <v>128</v>
      </c>
      <c r="L5" s="12" t="s">
        <v>129</v>
      </c>
      <c r="M5" s="3" t="s">
        <v>130</v>
      </c>
    </row>
    <row r="6" spans="1:13" ht="43.5" customHeight="1" x14ac:dyDescent="0.45">
      <c r="A6" s="3" t="s">
        <v>91</v>
      </c>
      <c r="B6" s="12">
        <v>3</v>
      </c>
      <c r="C6" s="3" t="s">
        <v>131</v>
      </c>
      <c r="D6" s="3" t="s">
        <v>132</v>
      </c>
      <c r="E6" s="3" t="s">
        <v>133</v>
      </c>
      <c r="F6" s="3" t="s">
        <v>134</v>
      </c>
      <c r="G6" s="3" t="s">
        <v>135</v>
      </c>
      <c r="H6" s="3" t="s">
        <v>117</v>
      </c>
      <c r="I6" s="3" t="s">
        <v>117</v>
      </c>
      <c r="J6" s="3" t="s">
        <v>117</v>
      </c>
      <c r="K6" s="3" t="s">
        <v>136</v>
      </c>
      <c r="L6" s="12" t="s">
        <v>117</v>
      </c>
      <c r="M6" s="3" t="s">
        <v>137</v>
      </c>
    </row>
    <row r="7" spans="1:13" ht="43.5" customHeight="1" x14ac:dyDescent="0.45">
      <c r="A7" s="3" t="s">
        <v>91</v>
      </c>
      <c r="B7" s="12">
        <v>3</v>
      </c>
      <c r="C7" s="3" t="s">
        <v>138</v>
      </c>
      <c r="D7" s="3" t="s">
        <v>139</v>
      </c>
      <c r="E7" s="3" t="s">
        <v>140</v>
      </c>
      <c r="F7" s="3" t="s">
        <v>134</v>
      </c>
      <c r="G7" s="3" t="s">
        <v>141</v>
      </c>
      <c r="H7" s="3" t="s">
        <v>117</v>
      </c>
      <c r="I7" s="3" t="s">
        <v>117</v>
      </c>
      <c r="J7" s="3" t="s">
        <v>117</v>
      </c>
      <c r="K7" s="3" t="s">
        <v>136</v>
      </c>
      <c r="L7" s="12" t="s">
        <v>117</v>
      </c>
      <c r="M7" s="3" t="s">
        <v>142</v>
      </c>
    </row>
    <row r="8" spans="1:13" ht="30" customHeight="1" x14ac:dyDescent="0.45">
      <c r="A8" s="3" t="s">
        <v>91</v>
      </c>
      <c r="B8" s="12">
        <v>3</v>
      </c>
      <c r="C8" s="3" t="s">
        <v>143</v>
      </c>
      <c r="D8" s="3" t="s">
        <v>144</v>
      </c>
      <c r="E8" s="3" t="s">
        <v>145</v>
      </c>
      <c r="F8" s="3" t="s">
        <v>134</v>
      </c>
      <c r="G8" s="3" t="s">
        <v>141</v>
      </c>
      <c r="H8" s="3" t="s">
        <v>117</v>
      </c>
      <c r="I8" s="3" t="s">
        <v>117</v>
      </c>
      <c r="J8" s="3" t="s">
        <v>117</v>
      </c>
      <c r="K8" s="3" t="s">
        <v>146</v>
      </c>
      <c r="L8" s="12" t="s">
        <v>117</v>
      </c>
      <c r="M8" s="3" t="s">
        <v>142</v>
      </c>
    </row>
    <row r="9" spans="1:13" ht="30" customHeight="1" x14ac:dyDescent="0.45">
      <c r="A9" s="3" t="s">
        <v>91</v>
      </c>
      <c r="B9" s="12">
        <v>3</v>
      </c>
      <c r="C9" s="3" t="s">
        <v>147</v>
      </c>
      <c r="D9" s="3" t="s">
        <v>148</v>
      </c>
      <c r="E9" s="3" t="s">
        <v>149</v>
      </c>
      <c r="F9" s="3" t="s">
        <v>134</v>
      </c>
      <c r="G9" s="3" t="s">
        <v>141</v>
      </c>
      <c r="H9" s="3" t="s">
        <v>117</v>
      </c>
      <c r="I9" s="3" t="s">
        <v>117</v>
      </c>
      <c r="J9" s="3" t="s">
        <v>117</v>
      </c>
      <c r="K9" s="3" t="s">
        <v>146</v>
      </c>
      <c r="L9" s="12" t="s">
        <v>117</v>
      </c>
      <c r="M9" s="3" t="s">
        <v>142</v>
      </c>
    </row>
    <row r="10" spans="1:13" ht="56.25" customHeight="1" x14ac:dyDescent="0.45">
      <c r="A10" s="3" t="s">
        <v>150</v>
      </c>
      <c r="B10" s="12">
        <v>1</v>
      </c>
      <c r="C10" s="3" t="s">
        <v>151</v>
      </c>
      <c r="D10" s="3" t="s">
        <v>152</v>
      </c>
      <c r="E10" s="3" t="s">
        <v>153</v>
      </c>
      <c r="F10" s="3" t="s">
        <v>154</v>
      </c>
      <c r="G10" s="3" t="s">
        <v>155</v>
      </c>
      <c r="H10" s="3" t="s">
        <v>156</v>
      </c>
      <c r="I10" s="2" t="s">
        <v>157</v>
      </c>
      <c r="J10" s="3" t="s">
        <v>158</v>
      </c>
      <c r="K10" s="3" t="s">
        <v>159</v>
      </c>
      <c r="L10" s="12" t="s">
        <v>129</v>
      </c>
      <c r="M10" s="3" t="s">
        <v>160</v>
      </c>
    </row>
    <row r="11" spans="1:13" ht="56.25" customHeight="1" x14ac:dyDescent="0.45">
      <c r="A11" s="3" t="s">
        <v>150</v>
      </c>
      <c r="B11" s="11">
        <v>1</v>
      </c>
      <c r="C11" s="3" t="s">
        <v>151</v>
      </c>
      <c r="D11" s="3" t="s">
        <v>161</v>
      </c>
      <c r="E11" s="3" t="s">
        <v>162</v>
      </c>
      <c r="F11" s="3" t="s">
        <v>163</v>
      </c>
      <c r="G11" s="3" t="s">
        <v>164</v>
      </c>
      <c r="H11" s="3" t="s">
        <v>165</v>
      </c>
      <c r="I11" s="3" t="s">
        <v>166</v>
      </c>
      <c r="J11" s="3" t="s">
        <v>167</v>
      </c>
      <c r="K11" s="3" t="s">
        <v>168</v>
      </c>
      <c r="L11" s="12" t="s">
        <v>101</v>
      </c>
      <c r="M11" s="3" t="s">
        <v>169</v>
      </c>
    </row>
    <row r="12" spans="1:13" ht="43.5" customHeight="1" x14ac:dyDescent="0.45">
      <c r="A12" s="3" t="s">
        <v>150</v>
      </c>
      <c r="B12" s="12">
        <v>2</v>
      </c>
      <c r="C12" s="3" t="s">
        <v>151</v>
      </c>
      <c r="D12" s="3" t="s">
        <v>170</v>
      </c>
      <c r="E12" s="3" t="s">
        <v>171</v>
      </c>
      <c r="F12" s="3" t="s">
        <v>172</v>
      </c>
      <c r="G12" s="3" t="s">
        <v>173</v>
      </c>
      <c r="H12" s="3" t="s">
        <v>117</v>
      </c>
      <c r="I12" s="3" t="s">
        <v>174</v>
      </c>
      <c r="J12" s="3" t="s">
        <v>117</v>
      </c>
      <c r="K12" s="3" t="s">
        <v>175</v>
      </c>
      <c r="L12" s="12" t="s">
        <v>129</v>
      </c>
      <c r="M12" s="3" t="s">
        <v>176</v>
      </c>
    </row>
    <row r="13" spans="1:13" ht="43.5" customHeight="1" x14ac:dyDescent="0.45">
      <c r="A13" s="3" t="s">
        <v>150</v>
      </c>
      <c r="B13" s="12">
        <v>2</v>
      </c>
      <c r="C13" s="3" t="s">
        <v>177</v>
      </c>
      <c r="D13" s="3" t="s">
        <v>178</v>
      </c>
      <c r="E13" s="3" t="s">
        <v>179</v>
      </c>
      <c r="F13" s="3" t="s">
        <v>180</v>
      </c>
      <c r="G13" s="3" t="s">
        <v>181</v>
      </c>
      <c r="H13" s="3" t="s">
        <v>117</v>
      </c>
      <c r="I13" s="3" t="s">
        <v>174</v>
      </c>
      <c r="J13" s="3" t="s">
        <v>117</v>
      </c>
      <c r="K13" s="3" t="s">
        <v>182</v>
      </c>
      <c r="L13" s="12" t="s">
        <v>129</v>
      </c>
      <c r="M13" s="3" t="s">
        <v>183</v>
      </c>
    </row>
    <row r="14" spans="1:13" ht="56.25" customHeight="1" x14ac:dyDescent="0.45">
      <c r="A14" s="3" t="s">
        <v>150</v>
      </c>
      <c r="B14" s="12">
        <v>2</v>
      </c>
      <c r="C14" s="3" t="s">
        <v>184</v>
      </c>
      <c r="D14" s="3" t="s">
        <v>185</v>
      </c>
      <c r="E14" s="3" t="s">
        <v>186</v>
      </c>
      <c r="F14" s="3" t="s">
        <v>187</v>
      </c>
      <c r="G14" s="3" t="s">
        <v>188</v>
      </c>
      <c r="H14" s="3" t="s">
        <v>117</v>
      </c>
      <c r="I14" s="3" t="s">
        <v>189</v>
      </c>
      <c r="J14" s="3" t="s">
        <v>117</v>
      </c>
      <c r="K14" s="3" t="s">
        <v>190</v>
      </c>
      <c r="L14" s="12" t="s">
        <v>101</v>
      </c>
      <c r="M14" s="3" t="s">
        <v>191</v>
      </c>
    </row>
    <row r="15" spans="1:13" ht="30" customHeight="1" x14ac:dyDescent="0.45">
      <c r="A15" s="3" t="s">
        <v>150</v>
      </c>
      <c r="B15" s="12">
        <v>3</v>
      </c>
      <c r="C15" s="3" t="s">
        <v>192</v>
      </c>
      <c r="D15" s="3" t="s">
        <v>193</v>
      </c>
      <c r="E15" s="3" t="s">
        <v>194</v>
      </c>
      <c r="F15" s="3" t="s">
        <v>134</v>
      </c>
      <c r="G15" s="3" t="s">
        <v>141</v>
      </c>
      <c r="H15" s="3" t="s">
        <v>117</v>
      </c>
      <c r="I15" s="3" t="s">
        <v>117</v>
      </c>
      <c r="J15" s="3" t="s">
        <v>117</v>
      </c>
      <c r="K15" s="3" t="s">
        <v>146</v>
      </c>
      <c r="L15" s="12" t="s">
        <v>117</v>
      </c>
      <c r="M15" s="3" t="s">
        <v>142</v>
      </c>
    </row>
    <row r="16" spans="1:13" ht="16.5" customHeight="1" x14ac:dyDescent="0.45">
      <c r="A16" s="3" t="s">
        <v>150</v>
      </c>
      <c r="B16" s="12">
        <v>3</v>
      </c>
      <c r="C16" s="3" t="s">
        <v>195</v>
      </c>
      <c r="D16" s="3" t="s">
        <v>196</v>
      </c>
      <c r="E16" s="3" t="s">
        <v>197</v>
      </c>
      <c r="F16" s="3" t="s">
        <v>134</v>
      </c>
      <c r="G16" s="3" t="s">
        <v>141</v>
      </c>
      <c r="H16" s="3" t="s">
        <v>117</v>
      </c>
      <c r="I16" s="3" t="s">
        <v>117</v>
      </c>
      <c r="J16" s="3" t="s">
        <v>117</v>
      </c>
      <c r="K16" s="3" t="s">
        <v>146</v>
      </c>
      <c r="L16" s="12" t="s">
        <v>117</v>
      </c>
      <c r="M16" s="3" t="s">
        <v>142</v>
      </c>
    </row>
    <row r="17" spans="1:13" ht="16.5" customHeight="1" x14ac:dyDescent="0.45">
      <c r="A17" s="3" t="s">
        <v>150</v>
      </c>
      <c r="B17" s="12">
        <v>3</v>
      </c>
      <c r="C17" s="3" t="s">
        <v>198</v>
      </c>
      <c r="D17" s="3" t="s">
        <v>199</v>
      </c>
      <c r="E17" s="3" t="s">
        <v>197</v>
      </c>
      <c r="F17" s="3" t="s">
        <v>134</v>
      </c>
      <c r="G17" s="3" t="s">
        <v>141</v>
      </c>
      <c r="H17" s="3" t="s">
        <v>117</v>
      </c>
      <c r="I17" s="3" t="s">
        <v>117</v>
      </c>
      <c r="J17" s="3" t="s">
        <v>117</v>
      </c>
      <c r="K17" s="3" t="s">
        <v>146</v>
      </c>
      <c r="L17" s="12" t="s">
        <v>117</v>
      </c>
      <c r="M17" s="3" t="s">
        <v>142</v>
      </c>
    </row>
    <row r="18" spans="1:13" ht="56.25" customHeight="1" x14ac:dyDescent="0.45">
      <c r="A18" s="3" t="s">
        <v>200</v>
      </c>
      <c r="B18" s="12">
        <v>1</v>
      </c>
      <c r="C18" s="3" t="s">
        <v>201</v>
      </c>
      <c r="D18" s="3" t="s">
        <v>202</v>
      </c>
      <c r="E18" s="3" t="s">
        <v>203</v>
      </c>
      <c r="F18" s="3" t="s">
        <v>204</v>
      </c>
      <c r="G18" s="3" t="s">
        <v>205</v>
      </c>
      <c r="H18" s="3" t="s">
        <v>117</v>
      </c>
      <c r="I18" s="3" t="s">
        <v>206</v>
      </c>
      <c r="J18" s="2" t="s">
        <v>207</v>
      </c>
      <c r="K18" s="2" t="s">
        <v>208</v>
      </c>
      <c r="L18" s="12" t="s">
        <v>101</v>
      </c>
      <c r="M18" s="3" t="s">
        <v>209</v>
      </c>
    </row>
    <row r="19" spans="1:13" ht="56.25" customHeight="1" x14ac:dyDescent="0.45">
      <c r="A19" s="3" t="s">
        <v>200</v>
      </c>
      <c r="B19" s="12">
        <v>2</v>
      </c>
      <c r="C19" s="3" t="s">
        <v>210</v>
      </c>
      <c r="D19" s="3" t="s">
        <v>211</v>
      </c>
      <c r="E19" s="3" t="s">
        <v>212</v>
      </c>
      <c r="F19" s="3" t="s">
        <v>213</v>
      </c>
      <c r="G19" s="3" t="s">
        <v>214</v>
      </c>
      <c r="H19" s="3" t="s">
        <v>117</v>
      </c>
      <c r="I19" s="3" t="s">
        <v>215</v>
      </c>
      <c r="J19" s="2" t="s">
        <v>216</v>
      </c>
      <c r="K19" s="3" t="s">
        <v>217</v>
      </c>
      <c r="L19" s="12" t="s">
        <v>129</v>
      </c>
      <c r="M19" s="3" t="s">
        <v>218</v>
      </c>
    </row>
    <row r="20" spans="1:13" ht="30" customHeight="1" x14ac:dyDescent="0.45">
      <c r="A20" s="3" t="s">
        <v>200</v>
      </c>
      <c r="B20" s="12">
        <v>2</v>
      </c>
      <c r="C20" s="3" t="s">
        <v>219</v>
      </c>
      <c r="D20" s="3" t="s">
        <v>220</v>
      </c>
      <c r="E20" s="3" t="s">
        <v>221</v>
      </c>
      <c r="F20" s="3" t="s">
        <v>222</v>
      </c>
      <c r="G20" s="3" t="s">
        <v>223</v>
      </c>
      <c r="H20" s="3" t="s">
        <v>117</v>
      </c>
      <c r="I20" s="3" t="s">
        <v>224</v>
      </c>
      <c r="J20" s="2" t="s">
        <v>225</v>
      </c>
      <c r="K20" s="3" t="s">
        <v>226</v>
      </c>
      <c r="L20" s="12" t="s">
        <v>129</v>
      </c>
      <c r="M20" s="3" t="s">
        <v>227</v>
      </c>
    </row>
    <row r="21" spans="1:13" ht="43.5" customHeight="1" x14ac:dyDescent="0.45">
      <c r="A21" s="3" t="s">
        <v>200</v>
      </c>
      <c r="B21" s="12">
        <v>2</v>
      </c>
      <c r="C21" s="3" t="s">
        <v>228</v>
      </c>
      <c r="D21" s="3" t="s">
        <v>229</v>
      </c>
      <c r="E21" s="3" t="s">
        <v>230</v>
      </c>
      <c r="F21" s="3" t="s">
        <v>231</v>
      </c>
      <c r="G21" s="3" t="s">
        <v>232</v>
      </c>
      <c r="H21" s="3" t="s">
        <v>117</v>
      </c>
      <c r="I21" s="3" t="s">
        <v>233</v>
      </c>
      <c r="J21" s="2" t="s">
        <v>225</v>
      </c>
      <c r="K21" s="2" t="s">
        <v>234</v>
      </c>
      <c r="L21" s="12" t="s">
        <v>129</v>
      </c>
      <c r="M21" s="3" t="s">
        <v>235</v>
      </c>
    </row>
    <row r="22" spans="1:13" ht="30" customHeight="1" x14ac:dyDescent="0.45">
      <c r="A22" s="3" t="s">
        <v>200</v>
      </c>
      <c r="B22" s="12">
        <v>2</v>
      </c>
      <c r="C22" s="3" t="s">
        <v>236</v>
      </c>
      <c r="D22" s="3" t="s">
        <v>237</v>
      </c>
      <c r="E22" s="3" t="s">
        <v>238</v>
      </c>
      <c r="F22" s="3" t="s">
        <v>239</v>
      </c>
      <c r="G22" s="3" t="s">
        <v>240</v>
      </c>
      <c r="H22" s="3" t="s">
        <v>117</v>
      </c>
      <c r="I22" s="3" t="s">
        <v>241</v>
      </c>
      <c r="J22" s="3" t="s">
        <v>242</v>
      </c>
      <c r="K22" s="3" t="s">
        <v>217</v>
      </c>
      <c r="L22" s="12" t="s">
        <v>129</v>
      </c>
      <c r="M22" s="3" t="s">
        <v>243</v>
      </c>
    </row>
    <row r="23" spans="1:13" ht="30" customHeight="1" x14ac:dyDescent="0.45">
      <c r="A23" s="3" t="s">
        <v>200</v>
      </c>
      <c r="B23" s="12">
        <v>2</v>
      </c>
      <c r="C23" s="3" t="s">
        <v>219</v>
      </c>
      <c r="D23" s="3" t="s">
        <v>244</v>
      </c>
      <c r="E23" s="3" t="s">
        <v>245</v>
      </c>
      <c r="F23" s="3" t="s">
        <v>246</v>
      </c>
      <c r="G23" s="3" t="s">
        <v>247</v>
      </c>
      <c r="H23" s="3" t="s">
        <v>117</v>
      </c>
      <c r="I23" s="3" t="s">
        <v>241</v>
      </c>
      <c r="J23" s="3" t="s">
        <v>248</v>
      </c>
      <c r="K23" s="2" t="s">
        <v>249</v>
      </c>
      <c r="L23" s="12" t="s">
        <v>129</v>
      </c>
      <c r="M23" s="3" t="s">
        <v>250</v>
      </c>
    </row>
    <row r="24" spans="1:13" ht="30" customHeight="1" x14ac:dyDescent="0.45">
      <c r="A24" s="3" t="s">
        <v>200</v>
      </c>
      <c r="B24" s="12">
        <v>3</v>
      </c>
      <c r="C24" s="3" t="s">
        <v>251</v>
      </c>
      <c r="D24" s="3" t="s">
        <v>252</v>
      </c>
      <c r="E24" s="3" t="s">
        <v>253</v>
      </c>
      <c r="F24" s="3" t="s">
        <v>254</v>
      </c>
      <c r="G24" s="2" t="s">
        <v>255</v>
      </c>
      <c r="H24" s="3" t="s">
        <v>117</v>
      </c>
      <c r="I24" s="3" t="s">
        <v>117</v>
      </c>
      <c r="J24" s="3" t="s">
        <v>117</v>
      </c>
      <c r="K24" s="3" t="s">
        <v>256</v>
      </c>
      <c r="L24" s="12" t="s">
        <v>129</v>
      </c>
      <c r="M24" s="3" t="s">
        <v>257</v>
      </c>
    </row>
    <row r="25" spans="1:13" ht="16.5" customHeight="1" x14ac:dyDescent="0.45">
      <c r="A25" s="3" t="s">
        <v>200</v>
      </c>
      <c r="B25" s="12">
        <v>3</v>
      </c>
      <c r="C25" s="3" t="s">
        <v>258</v>
      </c>
      <c r="D25" s="3" t="s">
        <v>259</v>
      </c>
      <c r="E25" s="3" t="s">
        <v>260</v>
      </c>
      <c r="F25" s="3" t="s">
        <v>261</v>
      </c>
      <c r="G25" s="2" t="s">
        <v>262</v>
      </c>
      <c r="H25" s="3" t="s">
        <v>117</v>
      </c>
      <c r="I25" s="3" t="s">
        <v>117</v>
      </c>
      <c r="J25" s="3" t="s">
        <v>117</v>
      </c>
      <c r="K25" s="3" t="s">
        <v>256</v>
      </c>
      <c r="L25" s="12" t="s">
        <v>129</v>
      </c>
      <c r="M25" s="3" t="s">
        <v>263</v>
      </c>
    </row>
    <row r="26" spans="1:13" ht="30" customHeight="1" x14ac:dyDescent="0.45">
      <c r="A26" s="3" t="s">
        <v>200</v>
      </c>
      <c r="B26" s="12">
        <v>3</v>
      </c>
      <c r="C26" s="3" t="s">
        <v>219</v>
      </c>
      <c r="D26" s="3" t="s">
        <v>264</v>
      </c>
      <c r="E26" s="3" t="s">
        <v>265</v>
      </c>
      <c r="F26" s="3" t="s">
        <v>266</v>
      </c>
      <c r="G26" s="2" t="s">
        <v>262</v>
      </c>
      <c r="H26" s="3" t="s">
        <v>117</v>
      </c>
      <c r="I26" s="3" t="s">
        <v>117</v>
      </c>
      <c r="J26" s="3" t="s">
        <v>117</v>
      </c>
      <c r="K26" s="3" t="s">
        <v>256</v>
      </c>
      <c r="L26" s="12" t="s">
        <v>129</v>
      </c>
      <c r="M26" s="3" t="s">
        <v>263</v>
      </c>
    </row>
    <row r="27" spans="1:13" ht="16.5" customHeight="1" x14ac:dyDescent="0.45">
      <c r="A27" s="3" t="s">
        <v>200</v>
      </c>
      <c r="B27" s="12">
        <v>3</v>
      </c>
      <c r="C27" s="3" t="s">
        <v>267</v>
      </c>
      <c r="D27" s="3" t="s">
        <v>268</v>
      </c>
      <c r="E27" s="3" t="s">
        <v>260</v>
      </c>
      <c r="F27" s="3" t="s">
        <v>269</v>
      </c>
      <c r="G27" s="2" t="s">
        <v>262</v>
      </c>
      <c r="H27" s="3" t="s">
        <v>117</v>
      </c>
      <c r="I27" s="3" t="s">
        <v>117</v>
      </c>
      <c r="J27" s="3" t="s">
        <v>117</v>
      </c>
      <c r="K27" s="3" t="s">
        <v>256</v>
      </c>
      <c r="L27" s="12" t="s">
        <v>129</v>
      </c>
      <c r="M27" s="3" t="s">
        <v>263</v>
      </c>
    </row>
    <row r="28" spans="1:13" ht="30" customHeight="1" x14ac:dyDescent="0.45">
      <c r="A28" s="3" t="s">
        <v>200</v>
      </c>
      <c r="B28" s="12">
        <v>3</v>
      </c>
      <c r="C28" s="3" t="s">
        <v>270</v>
      </c>
      <c r="D28" s="3" t="s">
        <v>271</v>
      </c>
      <c r="E28" s="3" t="s">
        <v>272</v>
      </c>
      <c r="F28" s="3" t="s">
        <v>273</v>
      </c>
      <c r="G28" s="2" t="s">
        <v>262</v>
      </c>
      <c r="H28" s="3" t="s">
        <v>117</v>
      </c>
      <c r="I28" s="3" t="s">
        <v>117</v>
      </c>
      <c r="J28" s="3" t="s">
        <v>117</v>
      </c>
      <c r="K28" s="3" t="s">
        <v>256</v>
      </c>
      <c r="L28" s="12" t="s">
        <v>129</v>
      </c>
      <c r="M28" s="3" t="s">
        <v>263</v>
      </c>
    </row>
    <row r="29" spans="1:13" ht="16.5" customHeight="1" x14ac:dyDescent="0.45">
      <c r="A29" s="3" t="s">
        <v>200</v>
      </c>
      <c r="B29" s="12">
        <v>3</v>
      </c>
      <c r="C29" s="3" t="s">
        <v>274</v>
      </c>
      <c r="D29" s="3" t="s">
        <v>275</v>
      </c>
      <c r="E29" s="3" t="s">
        <v>276</v>
      </c>
      <c r="F29" s="3" t="s">
        <v>134</v>
      </c>
      <c r="G29" s="3" t="s">
        <v>141</v>
      </c>
      <c r="H29" s="3" t="s">
        <v>117</v>
      </c>
      <c r="I29" s="3" t="s">
        <v>117</v>
      </c>
      <c r="J29" s="3" t="s">
        <v>117</v>
      </c>
      <c r="K29" s="3" t="s">
        <v>217</v>
      </c>
      <c r="L29" s="12" t="s">
        <v>117</v>
      </c>
      <c r="M29" s="3" t="s">
        <v>142</v>
      </c>
    </row>
    <row r="30" spans="1:13" ht="43.5" customHeight="1" x14ac:dyDescent="0.45">
      <c r="A30" s="3" t="s">
        <v>200</v>
      </c>
      <c r="B30" s="12">
        <v>3</v>
      </c>
      <c r="C30" s="3" t="s">
        <v>277</v>
      </c>
      <c r="D30" s="3" t="s">
        <v>278</v>
      </c>
      <c r="E30" s="3" t="s">
        <v>194</v>
      </c>
      <c r="F30" s="3" t="s">
        <v>134</v>
      </c>
      <c r="G30" s="3" t="s">
        <v>141</v>
      </c>
      <c r="H30" s="3" t="s">
        <v>117</v>
      </c>
      <c r="I30" s="3" t="s">
        <v>117</v>
      </c>
      <c r="J30" s="3" t="s">
        <v>117</v>
      </c>
      <c r="K30" s="3" t="s">
        <v>217</v>
      </c>
      <c r="L30" s="12" t="s">
        <v>117</v>
      </c>
      <c r="M30" s="3" t="s">
        <v>142</v>
      </c>
    </row>
    <row r="31" spans="1:13" ht="30" customHeight="1" x14ac:dyDescent="0.45">
      <c r="A31" s="3" t="s">
        <v>200</v>
      </c>
      <c r="B31" s="12">
        <v>3</v>
      </c>
      <c r="C31" s="3" t="s">
        <v>279</v>
      </c>
      <c r="D31" s="3" t="s">
        <v>280</v>
      </c>
      <c r="E31" s="3" t="s">
        <v>194</v>
      </c>
      <c r="F31" s="3" t="s">
        <v>134</v>
      </c>
      <c r="G31" s="3" t="s">
        <v>141</v>
      </c>
      <c r="H31" s="3" t="s">
        <v>117</v>
      </c>
      <c r="I31" s="3" t="s">
        <v>117</v>
      </c>
      <c r="J31" s="3" t="s">
        <v>117</v>
      </c>
      <c r="K31" s="3" t="s">
        <v>146</v>
      </c>
      <c r="L31" s="12" t="s">
        <v>117</v>
      </c>
      <c r="M31" s="3" t="s">
        <v>142</v>
      </c>
    </row>
    <row r="32" spans="1:13" ht="30" customHeight="1" x14ac:dyDescent="0.45">
      <c r="A32" s="3" t="s">
        <v>200</v>
      </c>
      <c r="B32" s="12">
        <v>3</v>
      </c>
      <c r="C32" s="3" t="s">
        <v>281</v>
      </c>
      <c r="D32" s="3" t="s">
        <v>282</v>
      </c>
      <c r="E32" s="3" t="s">
        <v>283</v>
      </c>
      <c r="F32" s="3" t="s">
        <v>134</v>
      </c>
      <c r="G32" s="3" t="s">
        <v>141</v>
      </c>
      <c r="H32" s="3" t="s">
        <v>117</v>
      </c>
      <c r="I32" s="3" t="s">
        <v>117</v>
      </c>
      <c r="J32" s="3" t="s">
        <v>117</v>
      </c>
      <c r="K32" s="3" t="s">
        <v>146</v>
      </c>
      <c r="L32" s="12" t="s">
        <v>117</v>
      </c>
      <c r="M32" s="3" t="s">
        <v>142</v>
      </c>
    </row>
    <row r="33" spans="1:13" ht="82.5" customHeight="1" x14ac:dyDescent="0.45">
      <c r="A33" s="3" t="s">
        <v>284</v>
      </c>
      <c r="B33" s="11">
        <v>1</v>
      </c>
      <c r="C33" s="3" t="s">
        <v>285</v>
      </c>
      <c r="D33" s="3" t="s">
        <v>286</v>
      </c>
      <c r="E33" s="3" t="s">
        <v>287</v>
      </c>
      <c r="F33" s="3" t="s">
        <v>288</v>
      </c>
      <c r="G33" s="3" t="s">
        <v>289</v>
      </c>
      <c r="H33" s="3" t="s">
        <v>117</v>
      </c>
      <c r="I33" s="3" t="s">
        <v>290</v>
      </c>
      <c r="J33" s="3" t="s">
        <v>291</v>
      </c>
      <c r="K33" s="2" t="s">
        <v>292</v>
      </c>
      <c r="L33" s="12" t="s">
        <v>101</v>
      </c>
      <c r="M33" s="3" t="s">
        <v>293</v>
      </c>
    </row>
    <row r="34" spans="1:13" ht="43.5" customHeight="1" x14ac:dyDescent="0.45">
      <c r="A34" s="3" t="s">
        <v>284</v>
      </c>
      <c r="B34" s="12">
        <v>1</v>
      </c>
      <c r="C34" s="3" t="s">
        <v>294</v>
      </c>
      <c r="D34" s="3" t="s">
        <v>295</v>
      </c>
      <c r="E34" s="3" t="s">
        <v>296</v>
      </c>
      <c r="F34" s="3" t="s">
        <v>297</v>
      </c>
      <c r="G34" s="3" t="s">
        <v>298</v>
      </c>
      <c r="H34" s="3" t="s">
        <v>117</v>
      </c>
      <c r="I34" s="3" t="s">
        <v>299</v>
      </c>
      <c r="J34" s="3" t="s">
        <v>300</v>
      </c>
      <c r="K34" s="2" t="s">
        <v>301</v>
      </c>
      <c r="L34" s="12" t="s">
        <v>129</v>
      </c>
      <c r="M34" s="3" t="s">
        <v>302</v>
      </c>
    </row>
    <row r="35" spans="1:13" ht="56.25" customHeight="1" x14ac:dyDescent="0.45">
      <c r="A35" s="3" t="s">
        <v>284</v>
      </c>
      <c r="B35" s="12">
        <v>2</v>
      </c>
      <c r="C35" s="3" t="s">
        <v>303</v>
      </c>
      <c r="D35" s="3" t="s">
        <v>304</v>
      </c>
      <c r="E35" s="3" t="s">
        <v>305</v>
      </c>
      <c r="F35" s="3" t="s">
        <v>306</v>
      </c>
      <c r="G35" s="3" t="s">
        <v>307</v>
      </c>
      <c r="H35" s="3" t="s">
        <v>117</v>
      </c>
      <c r="I35" s="3" t="s">
        <v>308</v>
      </c>
      <c r="J35" s="3" t="s">
        <v>309</v>
      </c>
      <c r="K35" s="3" t="s">
        <v>310</v>
      </c>
      <c r="L35" s="12" t="s">
        <v>129</v>
      </c>
      <c r="M35" s="3" t="s">
        <v>311</v>
      </c>
    </row>
    <row r="36" spans="1:13" ht="43.5" customHeight="1" x14ac:dyDescent="0.45">
      <c r="A36" s="3" t="s">
        <v>284</v>
      </c>
      <c r="B36" s="12">
        <v>2</v>
      </c>
      <c r="C36" s="3" t="s">
        <v>312</v>
      </c>
      <c r="D36" s="3" t="s">
        <v>313</v>
      </c>
      <c r="E36" s="3" t="s">
        <v>314</v>
      </c>
      <c r="F36" s="3" t="s">
        <v>134</v>
      </c>
      <c r="G36" s="3" t="s">
        <v>315</v>
      </c>
      <c r="H36" s="3" t="s">
        <v>117</v>
      </c>
      <c r="I36" s="3" t="s">
        <v>316</v>
      </c>
      <c r="J36" s="3" t="s">
        <v>309</v>
      </c>
      <c r="K36" s="3" t="s">
        <v>317</v>
      </c>
      <c r="L36" s="12" t="s">
        <v>129</v>
      </c>
      <c r="M36" s="3" t="s">
        <v>318</v>
      </c>
    </row>
    <row r="37" spans="1:13" ht="30" customHeight="1" x14ac:dyDescent="0.45">
      <c r="A37" s="3" t="s">
        <v>284</v>
      </c>
      <c r="B37" s="12">
        <v>3</v>
      </c>
      <c r="C37" s="3" t="s">
        <v>319</v>
      </c>
      <c r="D37" s="3" t="s">
        <v>320</v>
      </c>
      <c r="E37" s="3" t="s">
        <v>321</v>
      </c>
      <c r="F37" s="3" t="s">
        <v>134</v>
      </c>
      <c r="G37" s="3" t="s">
        <v>141</v>
      </c>
      <c r="H37" s="3" t="s">
        <v>117</v>
      </c>
      <c r="I37" s="3" t="s">
        <v>117</v>
      </c>
      <c r="J37" s="3" t="s">
        <v>117</v>
      </c>
      <c r="K37" s="3" t="s">
        <v>322</v>
      </c>
      <c r="L37" s="12" t="s">
        <v>117</v>
      </c>
      <c r="M37" s="3" t="s">
        <v>323</v>
      </c>
    </row>
    <row r="38" spans="1:13" ht="30" customHeight="1" x14ac:dyDescent="0.45">
      <c r="A38" s="3" t="s">
        <v>284</v>
      </c>
      <c r="B38" s="12">
        <v>3</v>
      </c>
      <c r="C38" s="3" t="s">
        <v>324</v>
      </c>
      <c r="D38" s="3" t="s">
        <v>325</v>
      </c>
      <c r="E38" s="3" t="s">
        <v>194</v>
      </c>
      <c r="F38" s="3" t="s">
        <v>134</v>
      </c>
      <c r="G38" s="3" t="s">
        <v>141</v>
      </c>
      <c r="H38" s="3" t="s">
        <v>117</v>
      </c>
      <c r="I38" s="3" t="s">
        <v>117</v>
      </c>
      <c r="J38" s="3" t="s">
        <v>117</v>
      </c>
      <c r="K38" s="3" t="s">
        <v>326</v>
      </c>
      <c r="L38" s="12" t="s">
        <v>117</v>
      </c>
      <c r="M38" s="3" t="s">
        <v>142</v>
      </c>
    </row>
    <row r="39" spans="1:13" ht="30" customHeight="1" x14ac:dyDescent="0.45">
      <c r="A39" s="3" t="s">
        <v>284</v>
      </c>
      <c r="B39" s="12">
        <v>3</v>
      </c>
      <c r="C39" s="3" t="s">
        <v>319</v>
      </c>
      <c r="D39" s="3" t="s">
        <v>327</v>
      </c>
      <c r="E39" s="3" t="s">
        <v>194</v>
      </c>
      <c r="F39" s="3" t="s">
        <v>134</v>
      </c>
      <c r="G39" s="3" t="s">
        <v>141</v>
      </c>
      <c r="H39" s="3" t="s">
        <v>117</v>
      </c>
      <c r="I39" s="3" t="s">
        <v>117</v>
      </c>
      <c r="J39" s="3" t="s">
        <v>117</v>
      </c>
      <c r="K39" s="3" t="s">
        <v>326</v>
      </c>
      <c r="L39" s="12" t="s">
        <v>117</v>
      </c>
      <c r="M39" s="3" t="s">
        <v>142</v>
      </c>
    </row>
    <row r="40" spans="1:13" ht="56.25" customHeight="1" x14ac:dyDescent="0.45">
      <c r="A40" s="3" t="s">
        <v>328</v>
      </c>
      <c r="B40" s="12">
        <v>1</v>
      </c>
      <c r="C40" s="3" t="s">
        <v>329</v>
      </c>
      <c r="D40" s="3" t="s">
        <v>330</v>
      </c>
      <c r="E40" s="3" t="s">
        <v>331</v>
      </c>
      <c r="F40" s="3" t="s">
        <v>332</v>
      </c>
      <c r="G40" s="3" t="s">
        <v>333</v>
      </c>
      <c r="H40" s="3" t="s">
        <v>334</v>
      </c>
      <c r="I40" s="3" t="s">
        <v>335</v>
      </c>
      <c r="J40" s="3" t="s">
        <v>336</v>
      </c>
      <c r="K40" s="3" t="s">
        <v>337</v>
      </c>
      <c r="L40" s="12" t="s">
        <v>101</v>
      </c>
      <c r="M40" s="3" t="s">
        <v>338</v>
      </c>
    </row>
    <row r="41" spans="1:13" ht="43.5" customHeight="1" x14ac:dyDescent="0.45">
      <c r="A41" s="3" t="s">
        <v>328</v>
      </c>
      <c r="B41" s="12">
        <v>1</v>
      </c>
      <c r="C41" s="3" t="s">
        <v>339</v>
      </c>
      <c r="D41" s="3" t="s">
        <v>340</v>
      </c>
      <c r="E41" s="3" t="s">
        <v>341</v>
      </c>
      <c r="F41" s="3" t="s">
        <v>342</v>
      </c>
      <c r="G41" s="3" t="s">
        <v>343</v>
      </c>
      <c r="H41" s="3" t="s">
        <v>117</v>
      </c>
      <c r="I41" s="3" t="s">
        <v>344</v>
      </c>
      <c r="J41" s="3" t="s">
        <v>345</v>
      </c>
      <c r="K41" s="3" t="s">
        <v>346</v>
      </c>
      <c r="L41" s="12" t="s">
        <v>129</v>
      </c>
      <c r="M41" s="3" t="s">
        <v>347</v>
      </c>
    </row>
    <row r="42" spans="1:13" ht="56.25" customHeight="1" x14ac:dyDescent="0.45">
      <c r="A42" s="3" t="s">
        <v>328</v>
      </c>
      <c r="B42" s="12">
        <v>2</v>
      </c>
      <c r="C42" s="3" t="s">
        <v>348</v>
      </c>
      <c r="D42" s="3" t="s">
        <v>349</v>
      </c>
      <c r="E42" s="3" t="s">
        <v>350</v>
      </c>
      <c r="F42" s="3" t="s">
        <v>351</v>
      </c>
      <c r="G42" s="3" t="s">
        <v>352</v>
      </c>
      <c r="H42" s="3" t="s">
        <v>117</v>
      </c>
      <c r="I42" s="2" t="s">
        <v>224</v>
      </c>
      <c r="J42" s="3" t="s">
        <v>225</v>
      </c>
      <c r="K42" s="3" t="s">
        <v>346</v>
      </c>
      <c r="L42" s="12" t="s">
        <v>129</v>
      </c>
      <c r="M42" s="3" t="s">
        <v>353</v>
      </c>
    </row>
  </sheetData>
  <autoFilter ref="A1:M42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6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3046875" defaultRowHeight="15" customHeight="1" x14ac:dyDescent="0.45"/>
  <cols>
    <col min="1" max="1" width="14" customWidth="1"/>
    <col min="2" max="2" width="26" customWidth="1"/>
    <col min="3" max="3" width="40" customWidth="1"/>
    <col min="4" max="4" width="56" customWidth="1"/>
    <col min="5" max="5" width="26" customWidth="1"/>
    <col min="6" max="6" width="30" customWidth="1"/>
    <col min="7" max="7" width="56" customWidth="1"/>
    <col min="8" max="8" width="26" customWidth="1"/>
    <col min="9" max="9" width="30" customWidth="1"/>
    <col min="10" max="11" width="12" customWidth="1"/>
    <col min="12" max="13" width="13" customWidth="1"/>
    <col min="14" max="18" width="12" customWidth="1"/>
    <col min="19" max="19" width="46" customWidth="1"/>
  </cols>
  <sheetData>
    <row r="1" spans="1:19" ht="48" customHeight="1" x14ac:dyDescent="0.45">
      <c r="A1" s="10" t="s">
        <v>78</v>
      </c>
      <c r="B1" s="10" t="s">
        <v>354</v>
      </c>
      <c r="C1" s="10" t="s">
        <v>355</v>
      </c>
      <c r="D1" s="10" t="s">
        <v>356</v>
      </c>
      <c r="E1" s="10" t="s">
        <v>357</v>
      </c>
      <c r="F1" s="10" t="s">
        <v>358</v>
      </c>
      <c r="G1" s="10" t="s">
        <v>359</v>
      </c>
      <c r="H1" s="13" t="s">
        <v>360</v>
      </c>
      <c r="I1" s="10" t="s">
        <v>361</v>
      </c>
      <c r="J1" s="10" t="s">
        <v>362</v>
      </c>
      <c r="K1" s="10" t="s">
        <v>363</v>
      </c>
      <c r="L1" s="10" t="s">
        <v>364</v>
      </c>
      <c r="M1" s="10" t="s">
        <v>365</v>
      </c>
      <c r="N1" s="10" t="s">
        <v>366</v>
      </c>
      <c r="O1" s="10" t="s">
        <v>367</v>
      </c>
      <c r="P1" s="10" t="s">
        <v>368</v>
      </c>
      <c r="Q1" s="10" t="s">
        <v>369</v>
      </c>
      <c r="R1" s="10" t="s">
        <v>370</v>
      </c>
      <c r="S1" s="10" t="s">
        <v>371</v>
      </c>
    </row>
    <row r="2" spans="1:19" ht="56.25" customHeight="1" x14ac:dyDescent="0.45">
      <c r="A2" s="3" t="s">
        <v>91</v>
      </c>
      <c r="B2" s="3" t="s">
        <v>372</v>
      </c>
      <c r="C2" s="2" t="s">
        <v>373</v>
      </c>
      <c r="D2" s="3" t="s">
        <v>374</v>
      </c>
      <c r="E2" s="3" t="s">
        <v>117</v>
      </c>
      <c r="F2" s="3" t="s">
        <v>375</v>
      </c>
      <c r="G2" s="3" t="s">
        <v>376</v>
      </c>
      <c r="H2" s="3" t="s">
        <v>377</v>
      </c>
      <c r="I2" s="3" t="s">
        <v>378</v>
      </c>
      <c r="J2" s="14">
        <f t="shared" ref="J2:J33" si="0">IF(R2&gt;=24,1,IF(R2&gt;=12,2,3))</f>
        <v>3</v>
      </c>
      <c r="K2" s="12">
        <v>1</v>
      </c>
      <c r="L2" s="12">
        <v>1</v>
      </c>
      <c r="M2" s="12">
        <v>3</v>
      </c>
      <c r="N2" s="12">
        <v>3</v>
      </c>
      <c r="O2" s="12">
        <v>1</v>
      </c>
      <c r="P2" s="12">
        <v>1</v>
      </c>
      <c r="Q2" s="12">
        <v>1</v>
      </c>
      <c r="R2" s="12">
        <f t="shared" ref="R2:R33" si="1">SUM(K2:Q2)</f>
        <v>11</v>
      </c>
      <c r="S2" s="3" t="s">
        <v>379</v>
      </c>
    </row>
    <row r="3" spans="1:19" ht="30" customHeight="1" x14ac:dyDescent="0.45">
      <c r="A3" s="3" t="s">
        <v>91</v>
      </c>
      <c r="B3" s="3" t="s">
        <v>380</v>
      </c>
      <c r="C3" s="3" t="s">
        <v>381</v>
      </c>
      <c r="D3" s="3" t="s">
        <v>382</v>
      </c>
      <c r="E3" s="3" t="s">
        <v>117</v>
      </c>
      <c r="F3" s="3" t="s">
        <v>117</v>
      </c>
      <c r="G3" s="3" t="s">
        <v>383</v>
      </c>
      <c r="H3" s="3" t="s">
        <v>377</v>
      </c>
      <c r="I3" s="3" t="s">
        <v>384</v>
      </c>
      <c r="J3" s="14">
        <f t="shared" si="0"/>
        <v>3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>
        <v>1</v>
      </c>
      <c r="R3" s="12">
        <f t="shared" si="1"/>
        <v>7</v>
      </c>
      <c r="S3" s="3" t="s">
        <v>385</v>
      </c>
    </row>
    <row r="4" spans="1:19" ht="30" customHeight="1" x14ac:dyDescent="0.45">
      <c r="A4" s="3" t="s">
        <v>91</v>
      </c>
      <c r="B4" s="3" t="s">
        <v>386</v>
      </c>
      <c r="C4" s="3" t="s">
        <v>387</v>
      </c>
      <c r="D4" s="3" t="s">
        <v>388</v>
      </c>
      <c r="E4" s="3" t="s">
        <v>117</v>
      </c>
      <c r="F4" s="3" t="s">
        <v>117</v>
      </c>
      <c r="G4" s="3" t="s">
        <v>389</v>
      </c>
      <c r="H4" s="3" t="s">
        <v>377</v>
      </c>
      <c r="I4" s="3" t="s">
        <v>384</v>
      </c>
      <c r="J4" s="14">
        <f t="shared" si="0"/>
        <v>3</v>
      </c>
      <c r="K4" s="12">
        <v>1</v>
      </c>
      <c r="L4" s="12">
        <v>1</v>
      </c>
      <c r="M4" s="12">
        <v>1</v>
      </c>
      <c r="N4" s="12">
        <v>3</v>
      </c>
      <c r="O4" s="12">
        <v>1</v>
      </c>
      <c r="P4" s="12">
        <v>1</v>
      </c>
      <c r="Q4" s="12">
        <v>1</v>
      </c>
      <c r="R4" s="12">
        <f t="shared" si="1"/>
        <v>9</v>
      </c>
      <c r="S4" s="3" t="s">
        <v>390</v>
      </c>
    </row>
    <row r="5" spans="1:19" ht="43.5" customHeight="1" x14ac:dyDescent="0.45">
      <c r="A5" s="3" t="s">
        <v>91</v>
      </c>
      <c r="B5" s="3" t="s">
        <v>391</v>
      </c>
      <c r="C5" s="3" t="s">
        <v>93</v>
      </c>
      <c r="D5" s="3" t="s">
        <v>392</v>
      </c>
      <c r="E5" s="3" t="s">
        <v>117</v>
      </c>
      <c r="F5" s="3" t="s">
        <v>117</v>
      </c>
      <c r="G5" s="3" t="s">
        <v>393</v>
      </c>
      <c r="H5" s="3" t="s">
        <v>377</v>
      </c>
      <c r="I5" s="3" t="s">
        <v>394</v>
      </c>
      <c r="J5" s="14">
        <f t="shared" si="0"/>
        <v>3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f t="shared" si="1"/>
        <v>7</v>
      </c>
      <c r="S5" s="3" t="s">
        <v>395</v>
      </c>
    </row>
    <row r="6" spans="1:19" ht="30" customHeight="1" x14ac:dyDescent="0.45">
      <c r="A6" s="3" t="s">
        <v>91</v>
      </c>
      <c r="B6" s="3" t="s">
        <v>396</v>
      </c>
      <c r="C6" s="3" t="s">
        <v>93</v>
      </c>
      <c r="D6" s="3" t="s">
        <v>397</v>
      </c>
      <c r="E6" s="3" t="s">
        <v>117</v>
      </c>
      <c r="F6" s="3" t="s">
        <v>117</v>
      </c>
      <c r="G6" s="3" t="s">
        <v>398</v>
      </c>
      <c r="H6" s="3" t="s">
        <v>377</v>
      </c>
      <c r="I6" s="3" t="s">
        <v>394</v>
      </c>
      <c r="J6" s="14">
        <f t="shared" si="0"/>
        <v>3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f t="shared" si="1"/>
        <v>7</v>
      </c>
      <c r="S6" s="3" t="s">
        <v>399</v>
      </c>
    </row>
    <row r="7" spans="1:19" ht="43.5" customHeight="1" x14ac:dyDescent="0.45">
      <c r="A7" s="3" t="s">
        <v>91</v>
      </c>
      <c r="B7" s="3" t="s">
        <v>400</v>
      </c>
      <c r="C7" s="2" t="s">
        <v>401</v>
      </c>
      <c r="D7" s="3" t="s">
        <v>402</v>
      </c>
      <c r="E7" s="3" t="s">
        <v>117</v>
      </c>
      <c r="F7" s="3" t="s">
        <v>117</v>
      </c>
      <c r="G7" s="3" t="s">
        <v>403</v>
      </c>
      <c r="H7" s="3" t="s">
        <v>377</v>
      </c>
      <c r="I7" s="3" t="s">
        <v>404</v>
      </c>
      <c r="J7" s="14">
        <f t="shared" si="0"/>
        <v>3</v>
      </c>
      <c r="K7" s="12">
        <v>1</v>
      </c>
      <c r="L7" s="12">
        <v>1</v>
      </c>
      <c r="M7" s="12">
        <v>1</v>
      </c>
      <c r="N7" s="12">
        <v>5</v>
      </c>
      <c r="O7" s="12">
        <v>1</v>
      </c>
      <c r="P7" s="12">
        <v>1</v>
      </c>
      <c r="Q7" s="12">
        <v>1</v>
      </c>
      <c r="R7" s="12">
        <f t="shared" si="1"/>
        <v>11</v>
      </c>
      <c r="S7" s="3" t="s">
        <v>405</v>
      </c>
    </row>
    <row r="8" spans="1:19" ht="43.5" customHeight="1" x14ac:dyDescent="0.45">
      <c r="A8" s="3" t="s">
        <v>91</v>
      </c>
      <c r="B8" s="3" t="s">
        <v>406</v>
      </c>
      <c r="C8" s="2" t="s">
        <v>407</v>
      </c>
      <c r="D8" s="3" t="s">
        <v>408</v>
      </c>
      <c r="E8" s="3" t="s">
        <v>117</v>
      </c>
      <c r="F8" s="3" t="s">
        <v>117</v>
      </c>
      <c r="G8" s="3" t="s">
        <v>403</v>
      </c>
      <c r="H8" s="3" t="s">
        <v>377</v>
      </c>
      <c r="I8" s="3" t="s">
        <v>409</v>
      </c>
      <c r="J8" s="14">
        <f t="shared" si="0"/>
        <v>3</v>
      </c>
      <c r="K8" s="12">
        <v>1</v>
      </c>
      <c r="L8" s="12">
        <v>1</v>
      </c>
      <c r="M8" s="12">
        <v>1</v>
      </c>
      <c r="N8" s="12">
        <v>5</v>
      </c>
      <c r="O8" s="12">
        <v>1</v>
      </c>
      <c r="P8" s="12">
        <v>1</v>
      </c>
      <c r="Q8" s="12">
        <v>1</v>
      </c>
      <c r="R8" s="12">
        <f t="shared" si="1"/>
        <v>11</v>
      </c>
      <c r="S8" s="3" t="s">
        <v>405</v>
      </c>
    </row>
    <row r="9" spans="1:19" ht="30" customHeight="1" x14ac:dyDescent="0.45">
      <c r="A9" s="3" t="s">
        <v>91</v>
      </c>
      <c r="B9" s="3" t="s">
        <v>410</v>
      </c>
      <c r="C9" s="3" t="s">
        <v>411</v>
      </c>
      <c r="D9" s="3" t="s">
        <v>412</v>
      </c>
      <c r="E9" s="3" t="s">
        <v>117</v>
      </c>
      <c r="F9" s="3" t="s">
        <v>413</v>
      </c>
      <c r="G9" s="3" t="s">
        <v>414</v>
      </c>
      <c r="H9" s="3" t="s">
        <v>377</v>
      </c>
      <c r="I9" s="3" t="s">
        <v>415</v>
      </c>
      <c r="J9" s="14">
        <f t="shared" si="0"/>
        <v>3</v>
      </c>
      <c r="K9" s="12">
        <v>1</v>
      </c>
      <c r="L9" s="12">
        <v>1</v>
      </c>
      <c r="M9" s="12">
        <v>3</v>
      </c>
      <c r="N9" s="12">
        <v>3</v>
      </c>
      <c r="O9" s="12">
        <v>1</v>
      </c>
      <c r="P9" s="12">
        <v>1</v>
      </c>
      <c r="Q9" s="12">
        <v>1</v>
      </c>
      <c r="R9" s="12">
        <f t="shared" si="1"/>
        <v>11</v>
      </c>
      <c r="S9" s="3" t="s">
        <v>416</v>
      </c>
    </row>
    <row r="10" spans="1:19" ht="30" customHeight="1" x14ac:dyDescent="0.45">
      <c r="A10" s="3" t="s">
        <v>91</v>
      </c>
      <c r="B10" s="3" t="s">
        <v>417</v>
      </c>
      <c r="C10" s="3" t="s">
        <v>418</v>
      </c>
      <c r="D10" s="3" t="s">
        <v>419</v>
      </c>
      <c r="E10" s="3" t="s">
        <v>117</v>
      </c>
      <c r="F10" s="3" t="s">
        <v>420</v>
      </c>
      <c r="G10" s="3" t="s">
        <v>393</v>
      </c>
      <c r="H10" s="3" t="s">
        <v>377</v>
      </c>
      <c r="I10" s="3" t="s">
        <v>384</v>
      </c>
      <c r="J10" s="14">
        <f t="shared" si="0"/>
        <v>3</v>
      </c>
      <c r="K10" s="12">
        <v>1</v>
      </c>
      <c r="L10" s="12">
        <v>1</v>
      </c>
      <c r="M10" s="12">
        <v>1</v>
      </c>
      <c r="N10" s="12">
        <v>3</v>
      </c>
      <c r="O10" s="12">
        <v>1</v>
      </c>
      <c r="P10" s="12">
        <v>1</v>
      </c>
      <c r="Q10" s="12">
        <v>1</v>
      </c>
      <c r="R10" s="12">
        <f t="shared" si="1"/>
        <v>9</v>
      </c>
      <c r="S10" s="3" t="s">
        <v>421</v>
      </c>
    </row>
    <row r="11" spans="1:19" ht="30" customHeight="1" x14ac:dyDescent="0.45">
      <c r="A11" s="3" t="s">
        <v>91</v>
      </c>
      <c r="B11" s="3" t="s">
        <v>422</v>
      </c>
      <c r="C11" s="3" t="s">
        <v>423</v>
      </c>
      <c r="D11" s="3" t="s">
        <v>424</v>
      </c>
      <c r="E11" s="3" t="s">
        <v>117</v>
      </c>
      <c r="F11" s="3" t="s">
        <v>425</v>
      </c>
      <c r="G11" s="3" t="s">
        <v>393</v>
      </c>
      <c r="H11" s="3" t="s">
        <v>377</v>
      </c>
      <c r="I11" s="3" t="s">
        <v>426</v>
      </c>
      <c r="J11" s="14">
        <f t="shared" si="0"/>
        <v>3</v>
      </c>
      <c r="K11" s="12">
        <v>1</v>
      </c>
      <c r="L11" s="12">
        <v>1</v>
      </c>
      <c r="M11" s="12">
        <v>1</v>
      </c>
      <c r="N11" s="12">
        <v>3</v>
      </c>
      <c r="O11" s="12">
        <v>1</v>
      </c>
      <c r="P11" s="12">
        <v>1</v>
      </c>
      <c r="Q11" s="12">
        <v>1</v>
      </c>
      <c r="R11" s="12">
        <f t="shared" si="1"/>
        <v>9</v>
      </c>
      <c r="S11" s="3" t="s">
        <v>421</v>
      </c>
    </row>
    <row r="12" spans="1:19" ht="43.5" customHeight="1" x14ac:dyDescent="0.45">
      <c r="A12" s="3" t="s">
        <v>91</v>
      </c>
      <c r="B12" s="3" t="s">
        <v>427</v>
      </c>
      <c r="C12" s="3" t="s">
        <v>428</v>
      </c>
      <c r="D12" s="3" t="s">
        <v>429</v>
      </c>
      <c r="E12" s="3" t="s">
        <v>117</v>
      </c>
      <c r="F12" s="3" t="s">
        <v>430</v>
      </c>
      <c r="G12" s="3" t="s">
        <v>431</v>
      </c>
      <c r="H12" s="3" t="s">
        <v>377</v>
      </c>
      <c r="I12" s="3" t="s">
        <v>384</v>
      </c>
      <c r="J12" s="14">
        <f t="shared" si="0"/>
        <v>3</v>
      </c>
      <c r="K12" s="12">
        <v>1</v>
      </c>
      <c r="L12" s="12">
        <v>1</v>
      </c>
      <c r="M12" s="12">
        <v>1</v>
      </c>
      <c r="N12" s="12">
        <v>1</v>
      </c>
      <c r="O12" s="12">
        <v>1</v>
      </c>
      <c r="P12" s="12">
        <v>1</v>
      </c>
      <c r="Q12" s="12">
        <v>1</v>
      </c>
      <c r="R12" s="12">
        <f t="shared" si="1"/>
        <v>7</v>
      </c>
      <c r="S12" s="3" t="s">
        <v>421</v>
      </c>
    </row>
    <row r="13" spans="1:19" ht="30" customHeight="1" x14ac:dyDescent="0.45">
      <c r="A13" s="3" t="s">
        <v>91</v>
      </c>
      <c r="B13" s="3" t="s">
        <v>432</v>
      </c>
      <c r="C13" s="3" t="s">
        <v>433</v>
      </c>
      <c r="D13" s="3" t="s">
        <v>434</v>
      </c>
      <c r="E13" s="3" t="s">
        <v>117</v>
      </c>
      <c r="F13" s="3" t="s">
        <v>117</v>
      </c>
      <c r="G13" s="3" t="s">
        <v>403</v>
      </c>
      <c r="H13" s="3" t="s">
        <v>377</v>
      </c>
      <c r="I13" s="3" t="s">
        <v>394</v>
      </c>
      <c r="J13" s="14">
        <f t="shared" si="0"/>
        <v>3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  <c r="R13" s="12">
        <f t="shared" si="1"/>
        <v>7</v>
      </c>
      <c r="S13" s="3" t="s">
        <v>435</v>
      </c>
    </row>
    <row r="14" spans="1:19" ht="30" customHeight="1" x14ac:dyDescent="0.45">
      <c r="A14" s="3" t="s">
        <v>91</v>
      </c>
      <c r="B14" s="3" t="s">
        <v>436</v>
      </c>
      <c r="C14" s="3" t="s">
        <v>437</v>
      </c>
      <c r="D14" s="3" t="s">
        <v>438</v>
      </c>
      <c r="E14" s="3" t="s">
        <v>117</v>
      </c>
      <c r="F14" s="3" t="s">
        <v>117</v>
      </c>
      <c r="G14" s="3" t="s">
        <v>403</v>
      </c>
      <c r="H14" s="3" t="s">
        <v>377</v>
      </c>
      <c r="I14" s="3" t="s">
        <v>439</v>
      </c>
      <c r="J14" s="14">
        <f t="shared" si="0"/>
        <v>3</v>
      </c>
      <c r="K14" s="12">
        <v>1</v>
      </c>
      <c r="L14" s="12">
        <v>1</v>
      </c>
      <c r="M14" s="12">
        <v>1</v>
      </c>
      <c r="N14" s="12">
        <v>3</v>
      </c>
      <c r="O14" s="12">
        <v>1</v>
      </c>
      <c r="P14" s="12">
        <v>1</v>
      </c>
      <c r="Q14" s="12">
        <v>1</v>
      </c>
      <c r="R14" s="12">
        <f t="shared" si="1"/>
        <v>9</v>
      </c>
      <c r="S14" s="3" t="s">
        <v>440</v>
      </c>
    </row>
    <row r="15" spans="1:19" ht="30" customHeight="1" x14ac:dyDescent="0.45">
      <c r="A15" s="3" t="s">
        <v>91</v>
      </c>
      <c r="B15" s="3" t="s">
        <v>441</v>
      </c>
      <c r="C15" s="3" t="s">
        <v>442</v>
      </c>
      <c r="D15" s="3" t="s">
        <v>443</v>
      </c>
      <c r="E15" s="3" t="s">
        <v>117</v>
      </c>
      <c r="F15" s="3" t="s">
        <v>444</v>
      </c>
      <c r="G15" s="3" t="s">
        <v>445</v>
      </c>
      <c r="H15" s="3" t="s">
        <v>377</v>
      </c>
      <c r="I15" s="3" t="s">
        <v>446</v>
      </c>
      <c r="J15" s="14">
        <f t="shared" si="0"/>
        <v>3</v>
      </c>
      <c r="K15" s="12">
        <v>1</v>
      </c>
      <c r="L15" s="12">
        <v>1</v>
      </c>
      <c r="M15" s="12">
        <v>1</v>
      </c>
      <c r="N15" s="12">
        <v>5</v>
      </c>
      <c r="O15" s="12">
        <v>1</v>
      </c>
      <c r="P15" s="12">
        <v>1</v>
      </c>
      <c r="Q15" s="12">
        <v>1</v>
      </c>
      <c r="R15" s="12">
        <f t="shared" si="1"/>
        <v>11</v>
      </c>
      <c r="S15" s="3" t="s">
        <v>447</v>
      </c>
    </row>
    <row r="16" spans="1:19" ht="43.5" customHeight="1" x14ac:dyDescent="0.45">
      <c r="A16" s="3" t="s">
        <v>91</v>
      </c>
      <c r="B16" s="3" t="s">
        <v>448</v>
      </c>
      <c r="C16" s="3" t="s">
        <v>449</v>
      </c>
      <c r="D16" s="3" t="s">
        <v>450</v>
      </c>
      <c r="E16" s="3" t="s">
        <v>117</v>
      </c>
      <c r="F16" s="3" t="s">
        <v>117</v>
      </c>
      <c r="G16" s="3" t="s">
        <v>451</v>
      </c>
      <c r="H16" s="3" t="s">
        <v>377</v>
      </c>
      <c r="I16" s="3" t="s">
        <v>452</v>
      </c>
      <c r="J16" s="14">
        <f t="shared" si="0"/>
        <v>3</v>
      </c>
      <c r="K16" s="12">
        <v>1</v>
      </c>
      <c r="L16" s="12">
        <v>1</v>
      </c>
      <c r="M16" s="12">
        <v>1</v>
      </c>
      <c r="N16" s="12">
        <v>3</v>
      </c>
      <c r="O16" s="12">
        <v>1</v>
      </c>
      <c r="P16" s="12">
        <v>1</v>
      </c>
      <c r="Q16" s="12">
        <v>1</v>
      </c>
      <c r="R16" s="12">
        <f t="shared" si="1"/>
        <v>9</v>
      </c>
      <c r="S16" s="3" t="s">
        <v>453</v>
      </c>
    </row>
    <row r="17" spans="1:19" ht="43.5" customHeight="1" x14ac:dyDescent="0.45">
      <c r="A17" s="3" t="s">
        <v>150</v>
      </c>
      <c r="B17" s="3" t="s">
        <v>454</v>
      </c>
      <c r="C17" s="3" t="s">
        <v>455</v>
      </c>
      <c r="D17" s="2" t="s">
        <v>456</v>
      </c>
      <c r="E17" s="3" t="s">
        <v>117</v>
      </c>
      <c r="F17" s="3" t="s">
        <v>457</v>
      </c>
      <c r="G17" s="3" t="s">
        <v>458</v>
      </c>
      <c r="H17" s="3" t="s">
        <v>377</v>
      </c>
      <c r="I17" s="3" t="s">
        <v>378</v>
      </c>
      <c r="J17" s="14">
        <f t="shared" si="0"/>
        <v>2</v>
      </c>
      <c r="K17" s="12">
        <v>1</v>
      </c>
      <c r="L17" s="12">
        <v>3</v>
      </c>
      <c r="M17" s="12">
        <v>5</v>
      </c>
      <c r="N17" s="12">
        <v>3</v>
      </c>
      <c r="O17" s="12">
        <v>3</v>
      </c>
      <c r="P17" s="12">
        <v>1</v>
      </c>
      <c r="Q17" s="12">
        <v>1</v>
      </c>
      <c r="R17" s="12">
        <f t="shared" si="1"/>
        <v>17</v>
      </c>
      <c r="S17" s="3" t="s">
        <v>459</v>
      </c>
    </row>
    <row r="18" spans="1:19" ht="43.5" customHeight="1" x14ac:dyDescent="0.45">
      <c r="A18" s="3" t="s">
        <v>150</v>
      </c>
      <c r="B18" s="3" t="s">
        <v>460</v>
      </c>
      <c r="C18" s="3" t="s">
        <v>461</v>
      </c>
      <c r="D18" s="3" t="s">
        <v>462</v>
      </c>
      <c r="E18" s="3" t="s">
        <v>117</v>
      </c>
      <c r="F18" s="3" t="s">
        <v>463</v>
      </c>
      <c r="G18" s="3" t="s">
        <v>464</v>
      </c>
      <c r="H18" s="3" t="s">
        <v>377</v>
      </c>
      <c r="I18" s="3" t="s">
        <v>465</v>
      </c>
      <c r="J18" s="14">
        <f t="shared" si="0"/>
        <v>2</v>
      </c>
      <c r="K18" s="12">
        <v>1</v>
      </c>
      <c r="L18" s="12">
        <v>3</v>
      </c>
      <c r="M18" s="12">
        <v>3</v>
      </c>
      <c r="N18" s="12">
        <v>5</v>
      </c>
      <c r="O18" s="12">
        <v>1</v>
      </c>
      <c r="P18" s="12">
        <v>1</v>
      </c>
      <c r="Q18" s="12">
        <v>1</v>
      </c>
      <c r="R18" s="12">
        <f t="shared" si="1"/>
        <v>15</v>
      </c>
      <c r="S18" s="3" t="s">
        <v>466</v>
      </c>
    </row>
    <row r="19" spans="1:19" ht="43.5" customHeight="1" x14ac:dyDescent="0.45">
      <c r="A19" s="3" t="s">
        <v>150</v>
      </c>
      <c r="B19" s="3" t="s">
        <v>467</v>
      </c>
      <c r="C19" s="3" t="s">
        <v>468</v>
      </c>
      <c r="D19" s="3" t="s">
        <v>469</v>
      </c>
      <c r="E19" s="3" t="s">
        <v>470</v>
      </c>
      <c r="F19" s="3" t="s">
        <v>117</v>
      </c>
      <c r="G19" s="3" t="s">
        <v>471</v>
      </c>
      <c r="H19" s="3" t="s">
        <v>377</v>
      </c>
      <c r="I19" s="3" t="s">
        <v>472</v>
      </c>
      <c r="J19" s="14">
        <f t="shared" si="0"/>
        <v>2</v>
      </c>
      <c r="K19" s="12">
        <v>3</v>
      </c>
      <c r="L19" s="12">
        <v>1</v>
      </c>
      <c r="M19" s="12">
        <v>1</v>
      </c>
      <c r="N19" s="12">
        <v>5</v>
      </c>
      <c r="O19" s="12">
        <v>1</v>
      </c>
      <c r="P19" s="12">
        <v>1</v>
      </c>
      <c r="Q19" s="12">
        <v>1</v>
      </c>
      <c r="R19" s="12">
        <f t="shared" si="1"/>
        <v>13</v>
      </c>
      <c r="S19" s="3" t="s">
        <v>473</v>
      </c>
    </row>
    <row r="20" spans="1:19" ht="30" customHeight="1" x14ac:dyDescent="0.45">
      <c r="A20" s="3" t="s">
        <v>150</v>
      </c>
      <c r="B20" s="3" t="s">
        <v>474</v>
      </c>
      <c r="C20" s="3" t="s">
        <v>475</v>
      </c>
      <c r="D20" s="3" t="s">
        <v>476</v>
      </c>
      <c r="E20" s="3" t="s">
        <v>117</v>
      </c>
      <c r="F20" s="3" t="s">
        <v>117</v>
      </c>
      <c r="G20" s="3" t="s">
        <v>403</v>
      </c>
      <c r="H20" s="3" t="s">
        <v>377</v>
      </c>
      <c r="I20" s="3" t="s">
        <v>477</v>
      </c>
      <c r="J20" s="14">
        <f t="shared" si="0"/>
        <v>2</v>
      </c>
      <c r="K20" s="12">
        <v>1</v>
      </c>
      <c r="L20" s="12">
        <v>1</v>
      </c>
      <c r="M20" s="12">
        <v>1</v>
      </c>
      <c r="N20" s="12">
        <v>5</v>
      </c>
      <c r="O20" s="12">
        <v>5</v>
      </c>
      <c r="P20" s="12">
        <v>1</v>
      </c>
      <c r="Q20" s="12">
        <v>1</v>
      </c>
      <c r="R20" s="12">
        <f t="shared" si="1"/>
        <v>15</v>
      </c>
      <c r="S20" s="3" t="s">
        <v>478</v>
      </c>
    </row>
    <row r="21" spans="1:19" ht="30" customHeight="1" x14ac:dyDescent="0.45">
      <c r="A21" s="3" t="s">
        <v>150</v>
      </c>
      <c r="B21" s="3" t="s">
        <v>479</v>
      </c>
      <c r="C21" s="3" t="s">
        <v>480</v>
      </c>
      <c r="D21" s="3" t="s">
        <v>481</v>
      </c>
      <c r="E21" s="3" t="s">
        <v>117</v>
      </c>
      <c r="F21" s="3" t="s">
        <v>117</v>
      </c>
      <c r="G21" s="3" t="s">
        <v>403</v>
      </c>
      <c r="H21" s="3" t="s">
        <v>377</v>
      </c>
      <c r="I21" s="3" t="s">
        <v>384</v>
      </c>
      <c r="J21" s="14">
        <f t="shared" si="0"/>
        <v>3</v>
      </c>
      <c r="K21" s="12">
        <v>1</v>
      </c>
      <c r="L21" s="12">
        <v>1</v>
      </c>
      <c r="M21" s="12">
        <v>1</v>
      </c>
      <c r="N21" s="12">
        <v>3</v>
      </c>
      <c r="O21" s="12">
        <v>1</v>
      </c>
      <c r="P21" s="12">
        <v>1</v>
      </c>
      <c r="Q21" s="12">
        <v>1</v>
      </c>
      <c r="R21" s="12">
        <f t="shared" si="1"/>
        <v>9</v>
      </c>
      <c r="S21" s="3" t="s">
        <v>482</v>
      </c>
    </row>
    <row r="22" spans="1:19" ht="30" customHeight="1" x14ac:dyDescent="0.45">
      <c r="A22" s="3" t="s">
        <v>150</v>
      </c>
      <c r="B22" s="3" t="s">
        <v>483</v>
      </c>
      <c r="C22" s="3" t="s">
        <v>480</v>
      </c>
      <c r="D22" s="3" t="s">
        <v>484</v>
      </c>
      <c r="E22" s="3" t="s">
        <v>117</v>
      </c>
      <c r="F22" s="3" t="s">
        <v>117</v>
      </c>
      <c r="G22" s="3" t="s">
        <v>403</v>
      </c>
      <c r="H22" s="3" t="s">
        <v>377</v>
      </c>
      <c r="I22" s="3" t="s">
        <v>394</v>
      </c>
      <c r="J22" s="14">
        <f t="shared" si="0"/>
        <v>3</v>
      </c>
      <c r="K22" s="12">
        <v>1</v>
      </c>
      <c r="L22" s="12">
        <v>1</v>
      </c>
      <c r="M22" s="12">
        <v>1</v>
      </c>
      <c r="N22" s="12">
        <v>1</v>
      </c>
      <c r="O22" s="12">
        <v>1</v>
      </c>
      <c r="P22" s="12">
        <v>1</v>
      </c>
      <c r="Q22" s="12">
        <v>1</v>
      </c>
      <c r="R22" s="12">
        <f t="shared" si="1"/>
        <v>7</v>
      </c>
      <c r="S22" s="3" t="s">
        <v>482</v>
      </c>
    </row>
    <row r="23" spans="1:19" ht="30" customHeight="1" x14ac:dyDescent="0.45">
      <c r="A23" s="3" t="s">
        <v>150</v>
      </c>
      <c r="B23" s="3" t="s">
        <v>485</v>
      </c>
      <c r="C23" s="3" t="s">
        <v>480</v>
      </c>
      <c r="D23" s="3" t="s">
        <v>484</v>
      </c>
      <c r="E23" s="3" t="s">
        <v>117</v>
      </c>
      <c r="F23" s="3" t="s">
        <v>117</v>
      </c>
      <c r="G23" s="3" t="s">
        <v>403</v>
      </c>
      <c r="H23" s="3" t="s">
        <v>377</v>
      </c>
      <c r="I23" s="3" t="s">
        <v>394</v>
      </c>
      <c r="J23" s="14">
        <f t="shared" si="0"/>
        <v>3</v>
      </c>
      <c r="K23" s="12">
        <v>1</v>
      </c>
      <c r="L23" s="12">
        <v>1</v>
      </c>
      <c r="M23" s="12">
        <v>1</v>
      </c>
      <c r="N23" s="12">
        <v>1</v>
      </c>
      <c r="O23" s="12">
        <v>1</v>
      </c>
      <c r="P23" s="12">
        <v>1</v>
      </c>
      <c r="Q23" s="12">
        <v>1</v>
      </c>
      <c r="R23" s="12">
        <f t="shared" si="1"/>
        <v>7</v>
      </c>
      <c r="S23" s="3" t="s">
        <v>482</v>
      </c>
    </row>
    <row r="24" spans="1:19" ht="30" customHeight="1" x14ac:dyDescent="0.45">
      <c r="A24" s="3" t="s">
        <v>150</v>
      </c>
      <c r="B24" s="3" t="s">
        <v>486</v>
      </c>
      <c r="C24" s="3" t="s">
        <v>487</v>
      </c>
      <c r="D24" s="3" t="s">
        <v>488</v>
      </c>
      <c r="E24" s="3" t="s">
        <v>117</v>
      </c>
      <c r="F24" s="3" t="s">
        <v>117</v>
      </c>
      <c r="G24" s="3" t="s">
        <v>403</v>
      </c>
      <c r="H24" s="3" t="s">
        <v>377</v>
      </c>
      <c r="I24" s="3" t="s">
        <v>394</v>
      </c>
      <c r="J24" s="14">
        <f t="shared" si="0"/>
        <v>3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1</v>
      </c>
      <c r="Q24" s="12">
        <v>1</v>
      </c>
      <c r="R24" s="12">
        <f t="shared" si="1"/>
        <v>7</v>
      </c>
      <c r="S24" s="3" t="s">
        <v>489</v>
      </c>
    </row>
    <row r="25" spans="1:19" ht="30" customHeight="1" x14ac:dyDescent="0.45">
      <c r="A25" s="3" t="s">
        <v>150</v>
      </c>
      <c r="B25" s="3" t="s">
        <v>490</v>
      </c>
      <c r="C25" s="3" t="s">
        <v>487</v>
      </c>
      <c r="D25" s="3" t="s">
        <v>491</v>
      </c>
      <c r="E25" s="3" t="s">
        <v>117</v>
      </c>
      <c r="F25" s="3" t="s">
        <v>117</v>
      </c>
      <c r="G25" s="3" t="s">
        <v>403</v>
      </c>
      <c r="H25" s="3" t="s">
        <v>377</v>
      </c>
      <c r="I25" s="3" t="s">
        <v>394</v>
      </c>
      <c r="J25" s="14">
        <f t="shared" si="0"/>
        <v>3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1</v>
      </c>
      <c r="Q25" s="12">
        <v>1</v>
      </c>
      <c r="R25" s="12">
        <f t="shared" si="1"/>
        <v>7</v>
      </c>
      <c r="S25" s="3" t="s">
        <v>489</v>
      </c>
    </row>
    <row r="26" spans="1:19" ht="43.5" customHeight="1" x14ac:dyDescent="0.45">
      <c r="A26" s="3" t="s">
        <v>200</v>
      </c>
      <c r="B26" s="3" t="s">
        <v>492</v>
      </c>
      <c r="C26" s="3" t="s">
        <v>493</v>
      </c>
      <c r="D26" s="3" t="s">
        <v>494</v>
      </c>
      <c r="E26" s="3" t="s">
        <v>117</v>
      </c>
      <c r="F26" s="3" t="s">
        <v>495</v>
      </c>
      <c r="G26" s="3" t="s">
        <v>496</v>
      </c>
      <c r="H26" s="3" t="s">
        <v>377</v>
      </c>
      <c r="I26" s="3" t="s">
        <v>378</v>
      </c>
      <c r="J26" s="14">
        <f t="shared" si="0"/>
        <v>2</v>
      </c>
      <c r="K26" s="12">
        <v>1</v>
      </c>
      <c r="L26" s="12">
        <v>1</v>
      </c>
      <c r="M26" s="12">
        <v>5</v>
      </c>
      <c r="N26" s="12">
        <v>5</v>
      </c>
      <c r="O26" s="12">
        <v>1</v>
      </c>
      <c r="P26" s="12">
        <v>1</v>
      </c>
      <c r="Q26" s="12">
        <v>1</v>
      </c>
      <c r="R26" s="12">
        <f t="shared" si="1"/>
        <v>15</v>
      </c>
      <c r="S26" s="3" t="s">
        <v>497</v>
      </c>
    </row>
    <row r="27" spans="1:19" ht="30" customHeight="1" x14ac:dyDescent="0.45">
      <c r="A27" s="3" t="s">
        <v>200</v>
      </c>
      <c r="B27" s="3" t="s">
        <v>222</v>
      </c>
      <c r="C27" s="3" t="s">
        <v>220</v>
      </c>
      <c r="D27" s="3" t="s">
        <v>498</v>
      </c>
      <c r="E27" s="3" t="s">
        <v>117</v>
      </c>
      <c r="F27" s="3" t="s">
        <v>225</v>
      </c>
      <c r="G27" s="3" t="s">
        <v>499</v>
      </c>
      <c r="H27" s="3" t="s">
        <v>377</v>
      </c>
      <c r="I27" s="3" t="s">
        <v>378</v>
      </c>
      <c r="J27" s="14">
        <f t="shared" si="0"/>
        <v>3</v>
      </c>
      <c r="K27" s="12">
        <v>1</v>
      </c>
      <c r="L27" s="12">
        <v>1</v>
      </c>
      <c r="M27" s="12">
        <v>3</v>
      </c>
      <c r="N27" s="12">
        <v>1</v>
      </c>
      <c r="O27" s="12">
        <v>1</v>
      </c>
      <c r="P27" s="12">
        <v>1</v>
      </c>
      <c r="Q27" s="12">
        <v>1</v>
      </c>
      <c r="R27" s="12">
        <f t="shared" si="1"/>
        <v>9</v>
      </c>
      <c r="S27" s="3" t="s">
        <v>500</v>
      </c>
    </row>
    <row r="28" spans="1:19" ht="30" customHeight="1" x14ac:dyDescent="0.45">
      <c r="A28" s="3" t="s">
        <v>200</v>
      </c>
      <c r="B28" s="3" t="s">
        <v>501</v>
      </c>
      <c r="C28" s="3" t="s">
        <v>502</v>
      </c>
      <c r="D28" s="3" t="s">
        <v>503</v>
      </c>
      <c r="E28" s="3" t="s">
        <v>117</v>
      </c>
      <c r="F28" s="3" t="s">
        <v>225</v>
      </c>
      <c r="G28" s="3" t="s">
        <v>504</v>
      </c>
      <c r="H28" s="3" t="s">
        <v>377</v>
      </c>
      <c r="I28" s="3" t="s">
        <v>378</v>
      </c>
      <c r="J28" s="14">
        <f t="shared" si="0"/>
        <v>3</v>
      </c>
      <c r="K28" s="12">
        <v>1</v>
      </c>
      <c r="L28" s="12">
        <v>1</v>
      </c>
      <c r="M28" s="12">
        <v>3</v>
      </c>
      <c r="N28" s="12">
        <v>1</v>
      </c>
      <c r="O28" s="12">
        <v>1</v>
      </c>
      <c r="P28" s="12">
        <v>1</v>
      </c>
      <c r="Q28" s="12">
        <v>1</v>
      </c>
      <c r="R28" s="12">
        <f t="shared" si="1"/>
        <v>9</v>
      </c>
      <c r="S28" s="3" t="s">
        <v>505</v>
      </c>
    </row>
    <row r="29" spans="1:19" ht="30" customHeight="1" x14ac:dyDescent="0.45">
      <c r="A29" s="3" t="s">
        <v>200</v>
      </c>
      <c r="B29" s="3" t="s">
        <v>506</v>
      </c>
      <c r="C29" s="3" t="s">
        <v>502</v>
      </c>
      <c r="D29" s="3" t="s">
        <v>507</v>
      </c>
      <c r="E29" s="3" t="s">
        <v>117</v>
      </c>
      <c r="F29" s="3" t="s">
        <v>117</v>
      </c>
      <c r="G29" s="3" t="s">
        <v>508</v>
      </c>
      <c r="H29" s="3" t="s">
        <v>377</v>
      </c>
      <c r="I29" s="3" t="s">
        <v>384</v>
      </c>
      <c r="J29" s="14">
        <f t="shared" si="0"/>
        <v>3</v>
      </c>
      <c r="K29" s="12">
        <v>1</v>
      </c>
      <c r="L29" s="12">
        <v>1</v>
      </c>
      <c r="M29" s="12">
        <v>1</v>
      </c>
      <c r="N29" s="12">
        <v>1</v>
      </c>
      <c r="O29" s="12">
        <v>1</v>
      </c>
      <c r="P29" s="12">
        <v>1</v>
      </c>
      <c r="Q29" s="12">
        <v>1</v>
      </c>
      <c r="R29" s="12">
        <f t="shared" si="1"/>
        <v>7</v>
      </c>
      <c r="S29" s="3" t="s">
        <v>509</v>
      </c>
    </row>
    <row r="30" spans="1:19" ht="30" customHeight="1" x14ac:dyDescent="0.45">
      <c r="A30" s="3" t="s">
        <v>200</v>
      </c>
      <c r="B30" s="3" t="s">
        <v>510</v>
      </c>
      <c r="C30" s="3" t="s">
        <v>511</v>
      </c>
      <c r="D30" s="3" t="s">
        <v>512</v>
      </c>
      <c r="E30" s="3" t="s">
        <v>117</v>
      </c>
      <c r="F30" s="3" t="s">
        <v>225</v>
      </c>
      <c r="G30" s="3" t="s">
        <v>513</v>
      </c>
      <c r="H30" s="3" t="s">
        <v>377</v>
      </c>
      <c r="I30" s="3" t="s">
        <v>378</v>
      </c>
      <c r="J30" s="14">
        <f t="shared" si="0"/>
        <v>3</v>
      </c>
      <c r="K30" s="12">
        <v>1</v>
      </c>
      <c r="L30" s="12">
        <v>1</v>
      </c>
      <c r="M30" s="12">
        <v>3</v>
      </c>
      <c r="N30" s="12">
        <v>1</v>
      </c>
      <c r="O30" s="12">
        <v>1</v>
      </c>
      <c r="P30" s="12">
        <v>1</v>
      </c>
      <c r="Q30" s="12">
        <v>1</v>
      </c>
      <c r="R30" s="12">
        <f t="shared" si="1"/>
        <v>9</v>
      </c>
      <c r="S30" s="3" t="s">
        <v>514</v>
      </c>
    </row>
    <row r="31" spans="1:19" ht="43.5" customHeight="1" x14ac:dyDescent="0.45">
      <c r="A31" s="3" t="s">
        <v>200</v>
      </c>
      <c r="B31" s="3" t="s">
        <v>515</v>
      </c>
      <c r="C31" s="3" t="s">
        <v>516</v>
      </c>
      <c r="D31" s="3" t="s">
        <v>517</v>
      </c>
      <c r="E31" s="3" t="s">
        <v>117</v>
      </c>
      <c r="F31" s="3" t="s">
        <v>117</v>
      </c>
      <c r="G31" s="3" t="s">
        <v>518</v>
      </c>
      <c r="H31" s="3" t="s">
        <v>377</v>
      </c>
      <c r="I31" s="3" t="s">
        <v>465</v>
      </c>
      <c r="J31" s="14">
        <f t="shared" si="0"/>
        <v>3</v>
      </c>
      <c r="K31" s="12">
        <v>1</v>
      </c>
      <c r="L31" s="12">
        <v>1</v>
      </c>
      <c r="M31" s="12">
        <v>1</v>
      </c>
      <c r="N31" s="12">
        <v>3</v>
      </c>
      <c r="O31" s="12">
        <v>1</v>
      </c>
      <c r="P31" s="12">
        <v>1</v>
      </c>
      <c r="Q31" s="12">
        <v>1</v>
      </c>
      <c r="R31" s="12">
        <f t="shared" si="1"/>
        <v>9</v>
      </c>
      <c r="S31" s="3" t="s">
        <v>519</v>
      </c>
    </row>
    <row r="32" spans="1:19" ht="30" customHeight="1" x14ac:dyDescent="0.45">
      <c r="A32" s="3" t="s">
        <v>200</v>
      </c>
      <c r="B32" s="3" t="s">
        <v>520</v>
      </c>
      <c r="C32" s="3" t="s">
        <v>511</v>
      </c>
      <c r="D32" s="3" t="s">
        <v>521</v>
      </c>
      <c r="E32" s="3" t="s">
        <v>117</v>
      </c>
      <c r="F32" s="3" t="s">
        <v>117</v>
      </c>
      <c r="G32" s="3" t="s">
        <v>522</v>
      </c>
      <c r="H32" s="3" t="s">
        <v>377</v>
      </c>
      <c r="I32" s="3" t="s">
        <v>394</v>
      </c>
      <c r="J32" s="14">
        <f t="shared" si="0"/>
        <v>3</v>
      </c>
      <c r="K32" s="12">
        <v>1</v>
      </c>
      <c r="L32" s="12">
        <v>1</v>
      </c>
      <c r="M32" s="12">
        <v>1</v>
      </c>
      <c r="N32" s="12">
        <v>1</v>
      </c>
      <c r="O32" s="12">
        <v>1</v>
      </c>
      <c r="P32" s="12">
        <v>1</v>
      </c>
      <c r="Q32" s="12">
        <v>1</v>
      </c>
      <c r="R32" s="12">
        <f t="shared" si="1"/>
        <v>7</v>
      </c>
      <c r="S32" s="3" t="s">
        <v>519</v>
      </c>
    </row>
    <row r="33" spans="1:19" ht="30" customHeight="1" x14ac:dyDescent="0.45">
      <c r="A33" s="3" t="s">
        <v>200</v>
      </c>
      <c r="B33" s="3" t="s">
        <v>523</v>
      </c>
      <c r="C33" s="3" t="s">
        <v>524</v>
      </c>
      <c r="D33" s="3" t="s">
        <v>525</v>
      </c>
      <c r="E33" s="3" t="s">
        <v>117</v>
      </c>
      <c r="F33" s="3" t="s">
        <v>248</v>
      </c>
      <c r="G33" s="3" t="s">
        <v>526</v>
      </c>
      <c r="H33" s="3" t="s">
        <v>377</v>
      </c>
      <c r="I33" s="3" t="s">
        <v>384</v>
      </c>
      <c r="J33" s="14">
        <f t="shared" si="0"/>
        <v>3</v>
      </c>
      <c r="K33" s="12">
        <v>1</v>
      </c>
      <c r="L33" s="12">
        <v>1</v>
      </c>
      <c r="M33" s="12">
        <v>1</v>
      </c>
      <c r="N33" s="12">
        <v>1</v>
      </c>
      <c r="O33" s="12">
        <v>1</v>
      </c>
      <c r="P33" s="12">
        <v>1</v>
      </c>
      <c r="Q33" s="12">
        <v>1</v>
      </c>
      <c r="R33" s="12">
        <f t="shared" si="1"/>
        <v>7</v>
      </c>
      <c r="S33" s="3" t="s">
        <v>527</v>
      </c>
    </row>
    <row r="34" spans="1:19" ht="43.5" customHeight="1" x14ac:dyDescent="0.45">
      <c r="A34" s="3" t="s">
        <v>200</v>
      </c>
      <c r="B34" s="3" t="s">
        <v>528</v>
      </c>
      <c r="C34" s="3" t="s">
        <v>529</v>
      </c>
      <c r="D34" s="3" t="s">
        <v>530</v>
      </c>
      <c r="E34" s="3" t="s">
        <v>117</v>
      </c>
      <c r="F34" s="3" t="s">
        <v>117</v>
      </c>
      <c r="G34" s="3" t="s">
        <v>522</v>
      </c>
      <c r="H34" s="3" t="s">
        <v>377</v>
      </c>
      <c r="I34" s="3" t="s">
        <v>394</v>
      </c>
      <c r="J34" s="14">
        <f t="shared" ref="J34:J65" si="2">IF(R34&gt;=24,1,IF(R34&gt;=12,2,3))</f>
        <v>3</v>
      </c>
      <c r="K34" s="12">
        <v>1</v>
      </c>
      <c r="L34" s="12">
        <v>1</v>
      </c>
      <c r="M34" s="12">
        <v>1</v>
      </c>
      <c r="N34" s="12">
        <v>3</v>
      </c>
      <c r="O34" s="12">
        <v>1</v>
      </c>
      <c r="P34" s="12">
        <v>1</v>
      </c>
      <c r="Q34" s="12">
        <v>1</v>
      </c>
      <c r="R34" s="12">
        <f t="shared" ref="R34:R65" si="3">SUM(K34:Q34)</f>
        <v>9</v>
      </c>
      <c r="S34" s="3" t="s">
        <v>519</v>
      </c>
    </row>
    <row r="35" spans="1:19" ht="30" customHeight="1" x14ac:dyDescent="0.45">
      <c r="A35" s="3" t="s">
        <v>200</v>
      </c>
      <c r="B35" s="3" t="s">
        <v>246</v>
      </c>
      <c r="C35" s="3" t="s">
        <v>531</v>
      </c>
      <c r="D35" s="3" t="s">
        <v>532</v>
      </c>
      <c r="E35" s="3" t="s">
        <v>117</v>
      </c>
      <c r="F35" s="3" t="s">
        <v>248</v>
      </c>
      <c r="G35" s="3" t="s">
        <v>533</v>
      </c>
      <c r="H35" s="3" t="s">
        <v>377</v>
      </c>
      <c r="I35" s="3" t="s">
        <v>384</v>
      </c>
      <c r="J35" s="14">
        <f t="shared" si="2"/>
        <v>3</v>
      </c>
      <c r="K35" s="12">
        <v>1</v>
      </c>
      <c r="L35" s="12">
        <v>1</v>
      </c>
      <c r="M35" s="12">
        <v>1</v>
      </c>
      <c r="N35" s="12">
        <v>3</v>
      </c>
      <c r="O35" s="12">
        <v>1</v>
      </c>
      <c r="P35" s="12">
        <v>1</v>
      </c>
      <c r="Q35" s="12">
        <v>1</v>
      </c>
      <c r="R35" s="12">
        <f t="shared" si="3"/>
        <v>9</v>
      </c>
      <c r="S35" s="3" t="s">
        <v>534</v>
      </c>
    </row>
    <row r="36" spans="1:19" ht="30" customHeight="1" x14ac:dyDescent="0.45">
      <c r="A36" s="3" t="s">
        <v>200</v>
      </c>
      <c r="B36" s="3" t="s">
        <v>254</v>
      </c>
      <c r="C36" s="3" t="s">
        <v>535</v>
      </c>
      <c r="D36" s="3" t="s">
        <v>536</v>
      </c>
      <c r="E36" s="3" t="s">
        <v>117</v>
      </c>
      <c r="F36" s="3" t="s">
        <v>117</v>
      </c>
      <c r="G36" s="3" t="s">
        <v>403</v>
      </c>
      <c r="H36" s="3" t="s">
        <v>377</v>
      </c>
      <c r="I36" s="3" t="s">
        <v>394</v>
      </c>
      <c r="J36" s="14">
        <f t="shared" si="2"/>
        <v>3</v>
      </c>
      <c r="K36" s="12">
        <v>1</v>
      </c>
      <c r="L36" s="12">
        <v>1</v>
      </c>
      <c r="M36" s="12">
        <v>1</v>
      </c>
      <c r="N36" s="12">
        <v>3</v>
      </c>
      <c r="O36" s="12">
        <v>1</v>
      </c>
      <c r="P36" s="12">
        <v>1</v>
      </c>
      <c r="Q36" s="12">
        <v>1</v>
      </c>
      <c r="R36" s="12">
        <f t="shared" si="3"/>
        <v>9</v>
      </c>
      <c r="S36" s="3" t="s">
        <v>537</v>
      </c>
    </row>
    <row r="37" spans="1:19" ht="30" customHeight="1" x14ac:dyDescent="0.45">
      <c r="A37" s="3" t="s">
        <v>200</v>
      </c>
      <c r="B37" s="3" t="s">
        <v>261</v>
      </c>
      <c r="C37" s="3" t="s">
        <v>538</v>
      </c>
      <c r="D37" s="3" t="s">
        <v>539</v>
      </c>
      <c r="E37" s="3" t="s">
        <v>117</v>
      </c>
      <c r="F37" s="3" t="s">
        <v>117</v>
      </c>
      <c r="G37" s="3" t="s">
        <v>403</v>
      </c>
      <c r="H37" s="3" t="s">
        <v>377</v>
      </c>
      <c r="I37" s="3" t="s">
        <v>394</v>
      </c>
      <c r="J37" s="14">
        <f t="shared" si="2"/>
        <v>3</v>
      </c>
      <c r="K37" s="12">
        <v>1</v>
      </c>
      <c r="L37" s="12">
        <v>1</v>
      </c>
      <c r="M37" s="12">
        <v>1</v>
      </c>
      <c r="N37" s="12">
        <v>3</v>
      </c>
      <c r="O37" s="12">
        <v>1</v>
      </c>
      <c r="P37" s="12">
        <v>1</v>
      </c>
      <c r="Q37" s="12">
        <v>1</v>
      </c>
      <c r="R37" s="12">
        <f t="shared" si="3"/>
        <v>9</v>
      </c>
      <c r="S37" s="3" t="s">
        <v>540</v>
      </c>
    </row>
    <row r="38" spans="1:19" ht="30" customHeight="1" x14ac:dyDescent="0.45">
      <c r="A38" s="3" t="s">
        <v>200</v>
      </c>
      <c r="B38" s="3" t="s">
        <v>266</v>
      </c>
      <c r="C38" s="3" t="s">
        <v>541</v>
      </c>
      <c r="D38" s="3" t="s">
        <v>539</v>
      </c>
      <c r="E38" s="3" t="s">
        <v>117</v>
      </c>
      <c r="F38" s="3" t="s">
        <v>117</v>
      </c>
      <c r="G38" s="3" t="s">
        <v>403</v>
      </c>
      <c r="H38" s="3" t="s">
        <v>377</v>
      </c>
      <c r="I38" s="3" t="s">
        <v>394</v>
      </c>
      <c r="J38" s="14">
        <f t="shared" si="2"/>
        <v>3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1</v>
      </c>
      <c r="Q38" s="12">
        <v>1</v>
      </c>
      <c r="R38" s="12">
        <f t="shared" si="3"/>
        <v>7</v>
      </c>
      <c r="S38" s="3" t="s">
        <v>540</v>
      </c>
    </row>
    <row r="39" spans="1:19" ht="30" customHeight="1" x14ac:dyDescent="0.45">
      <c r="A39" s="3" t="s">
        <v>200</v>
      </c>
      <c r="B39" s="3" t="s">
        <v>269</v>
      </c>
      <c r="C39" s="3" t="s">
        <v>542</v>
      </c>
      <c r="D39" s="3" t="s">
        <v>539</v>
      </c>
      <c r="E39" s="3" t="s">
        <v>117</v>
      </c>
      <c r="F39" s="3" t="s">
        <v>117</v>
      </c>
      <c r="G39" s="3" t="s">
        <v>403</v>
      </c>
      <c r="H39" s="3" t="s">
        <v>377</v>
      </c>
      <c r="I39" s="3" t="s">
        <v>394</v>
      </c>
      <c r="J39" s="14">
        <f t="shared" si="2"/>
        <v>3</v>
      </c>
      <c r="K39" s="12">
        <v>1</v>
      </c>
      <c r="L39" s="12">
        <v>1</v>
      </c>
      <c r="M39" s="12">
        <v>1</v>
      </c>
      <c r="N39" s="12">
        <v>1</v>
      </c>
      <c r="O39" s="12">
        <v>1</v>
      </c>
      <c r="P39" s="12">
        <v>1</v>
      </c>
      <c r="Q39" s="12">
        <v>1</v>
      </c>
      <c r="R39" s="12">
        <f t="shared" si="3"/>
        <v>7</v>
      </c>
      <c r="S39" s="3" t="s">
        <v>540</v>
      </c>
    </row>
    <row r="40" spans="1:19" ht="30" customHeight="1" x14ac:dyDescent="0.45">
      <c r="A40" s="3" t="s">
        <v>200</v>
      </c>
      <c r="B40" s="3" t="s">
        <v>273</v>
      </c>
      <c r="C40" s="3" t="s">
        <v>543</v>
      </c>
      <c r="D40" s="3" t="s">
        <v>539</v>
      </c>
      <c r="E40" s="3" t="s">
        <v>117</v>
      </c>
      <c r="F40" s="3" t="s">
        <v>117</v>
      </c>
      <c r="G40" s="3" t="s">
        <v>403</v>
      </c>
      <c r="H40" s="3" t="s">
        <v>377</v>
      </c>
      <c r="I40" s="3" t="s">
        <v>394</v>
      </c>
      <c r="J40" s="14">
        <f t="shared" si="2"/>
        <v>3</v>
      </c>
      <c r="K40" s="12">
        <v>1</v>
      </c>
      <c r="L40" s="12">
        <v>1</v>
      </c>
      <c r="M40" s="12">
        <v>1</v>
      </c>
      <c r="N40" s="12">
        <v>1</v>
      </c>
      <c r="O40" s="12">
        <v>1</v>
      </c>
      <c r="P40" s="12">
        <v>1</v>
      </c>
      <c r="Q40" s="12">
        <v>1</v>
      </c>
      <c r="R40" s="12">
        <f t="shared" si="3"/>
        <v>7</v>
      </c>
      <c r="S40" s="3" t="s">
        <v>540</v>
      </c>
    </row>
    <row r="41" spans="1:19" ht="30" customHeight="1" x14ac:dyDescent="0.45">
      <c r="A41" s="3" t="s">
        <v>200</v>
      </c>
      <c r="B41" s="3" t="s">
        <v>544</v>
      </c>
      <c r="C41" s="2" t="s">
        <v>545</v>
      </c>
      <c r="D41" s="3" t="s">
        <v>546</v>
      </c>
      <c r="E41" s="3" t="s">
        <v>117</v>
      </c>
      <c r="F41" s="3" t="s">
        <v>248</v>
      </c>
      <c r="G41" s="3" t="s">
        <v>533</v>
      </c>
      <c r="H41" s="3" t="s">
        <v>377</v>
      </c>
      <c r="I41" s="3" t="s">
        <v>547</v>
      </c>
      <c r="J41" s="14">
        <f t="shared" si="2"/>
        <v>3</v>
      </c>
      <c r="K41" s="12">
        <v>1</v>
      </c>
      <c r="L41" s="12">
        <v>1</v>
      </c>
      <c r="M41" s="12">
        <v>1</v>
      </c>
      <c r="N41" s="12">
        <v>1</v>
      </c>
      <c r="O41" s="12">
        <v>1</v>
      </c>
      <c r="P41" s="12">
        <v>1</v>
      </c>
      <c r="Q41" s="12">
        <v>1</v>
      </c>
      <c r="R41" s="12">
        <f t="shared" si="3"/>
        <v>7</v>
      </c>
      <c r="S41" s="3" t="s">
        <v>548</v>
      </c>
    </row>
    <row r="42" spans="1:19" ht="30" customHeight="1" x14ac:dyDescent="0.45">
      <c r="A42" s="3" t="s">
        <v>200</v>
      </c>
      <c r="B42" s="3" t="s">
        <v>549</v>
      </c>
      <c r="C42" s="2" t="s">
        <v>550</v>
      </c>
      <c r="D42" s="3" t="s">
        <v>546</v>
      </c>
      <c r="E42" s="3" t="s">
        <v>117</v>
      </c>
      <c r="F42" s="3" t="s">
        <v>248</v>
      </c>
      <c r="G42" s="3" t="s">
        <v>533</v>
      </c>
      <c r="H42" s="3" t="s">
        <v>377</v>
      </c>
      <c r="I42" s="3" t="s">
        <v>551</v>
      </c>
      <c r="J42" s="14">
        <f t="shared" si="2"/>
        <v>3</v>
      </c>
      <c r="K42" s="12">
        <v>1</v>
      </c>
      <c r="L42" s="12">
        <v>1</v>
      </c>
      <c r="M42" s="12">
        <v>1</v>
      </c>
      <c r="N42" s="12">
        <v>1</v>
      </c>
      <c r="O42" s="12">
        <v>1</v>
      </c>
      <c r="P42" s="12">
        <v>1</v>
      </c>
      <c r="Q42" s="12">
        <v>1</v>
      </c>
      <c r="R42" s="12">
        <f t="shared" si="3"/>
        <v>7</v>
      </c>
      <c r="S42" s="3" t="s">
        <v>548</v>
      </c>
    </row>
    <row r="43" spans="1:19" ht="30" customHeight="1" x14ac:dyDescent="0.45">
      <c r="A43" s="3" t="s">
        <v>200</v>
      </c>
      <c r="B43" s="3" t="s">
        <v>552</v>
      </c>
      <c r="C43" s="2" t="s">
        <v>550</v>
      </c>
      <c r="D43" s="3" t="s">
        <v>546</v>
      </c>
      <c r="E43" s="3" t="s">
        <v>117</v>
      </c>
      <c r="F43" s="3" t="s">
        <v>248</v>
      </c>
      <c r="G43" s="3" t="s">
        <v>533</v>
      </c>
      <c r="H43" s="3" t="s">
        <v>377</v>
      </c>
      <c r="I43" s="3" t="s">
        <v>551</v>
      </c>
      <c r="J43" s="14">
        <f t="shared" si="2"/>
        <v>3</v>
      </c>
      <c r="K43" s="12">
        <v>1</v>
      </c>
      <c r="L43" s="12">
        <v>1</v>
      </c>
      <c r="M43" s="12">
        <v>1</v>
      </c>
      <c r="N43" s="12">
        <v>1</v>
      </c>
      <c r="O43" s="12">
        <v>1</v>
      </c>
      <c r="P43" s="12">
        <v>1</v>
      </c>
      <c r="Q43" s="12">
        <v>1</v>
      </c>
      <c r="R43" s="12">
        <f t="shared" si="3"/>
        <v>7</v>
      </c>
      <c r="S43" s="3" t="s">
        <v>548</v>
      </c>
    </row>
    <row r="44" spans="1:19" ht="30" customHeight="1" x14ac:dyDescent="0.45">
      <c r="A44" s="3" t="s">
        <v>200</v>
      </c>
      <c r="B44" s="3" t="s">
        <v>553</v>
      </c>
      <c r="C44" s="2" t="s">
        <v>550</v>
      </c>
      <c r="D44" s="3" t="s">
        <v>546</v>
      </c>
      <c r="E44" s="3" t="s">
        <v>117</v>
      </c>
      <c r="F44" s="3" t="s">
        <v>248</v>
      </c>
      <c r="G44" s="3" t="s">
        <v>533</v>
      </c>
      <c r="H44" s="3" t="s">
        <v>377</v>
      </c>
      <c r="I44" s="3" t="s">
        <v>551</v>
      </c>
      <c r="J44" s="14">
        <f t="shared" si="2"/>
        <v>3</v>
      </c>
      <c r="K44" s="12">
        <v>1</v>
      </c>
      <c r="L44" s="12">
        <v>1</v>
      </c>
      <c r="M44" s="12">
        <v>1</v>
      </c>
      <c r="N44" s="12">
        <v>1</v>
      </c>
      <c r="O44" s="12">
        <v>1</v>
      </c>
      <c r="P44" s="12">
        <v>1</v>
      </c>
      <c r="Q44" s="12">
        <v>1</v>
      </c>
      <c r="R44" s="12">
        <f t="shared" si="3"/>
        <v>7</v>
      </c>
      <c r="S44" s="3" t="s">
        <v>548</v>
      </c>
    </row>
    <row r="45" spans="1:19" ht="30" customHeight="1" x14ac:dyDescent="0.45">
      <c r="A45" s="3" t="s">
        <v>200</v>
      </c>
      <c r="B45" s="3" t="s">
        <v>554</v>
      </c>
      <c r="C45" s="2" t="s">
        <v>550</v>
      </c>
      <c r="D45" s="3" t="s">
        <v>555</v>
      </c>
      <c r="E45" s="3" t="s">
        <v>117</v>
      </c>
      <c r="F45" s="3" t="s">
        <v>556</v>
      </c>
      <c r="G45" s="3" t="s">
        <v>557</v>
      </c>
      <c r="H45" s="3" t="s">
        <v>377</v>
      </c>
      <c r="I45" s="3" t="s">
        <v>558</v>
      </c>
      <c r="J45" s="14">
        <f t="shared" si="2"/>
        <v>3</v>
      </c>
      <c r="K45" s="12">
        <v>1</v>
      </c>
      <c r="L45" s="12">
        <v>1</v>
      </c>
      <c r="M45" s="12">
        <v>1</v>
      </c>
      <c r="N45" s="12">
        <v>1</v>
      </c>
      <c r="O45" s="12">
        <v>1</v>
      </c>
      <c r="P45" s="12">
        <v>1</v>
      </c>
      <c r="Q45" s="12">
        <v>1</v>
      </c>
      <c r="R45" s="12">
        <f t="shared" si="3"/>
        <v>7</v>
      </c>
      <c r="S45" s="3" t="s">
        <v>548</v>
      </c>
    </row>
    <row r="46" spans="1:19" ht="30" customHeight="1" x14ac:dyDescent="0.45">
      <c r="A46" s="3" t="s">
        <v>200</v>
      </c>
      <c r="B46" s="3" t="s">
        <v>559</v>
      </c>
      <c r="C46" s="3" t="s">
        <v>560</v>
      </c>
      <c r="D46" s="3" t="s">
        <v>561</v>
      </c>
      <c r="E46" s="3" t="s">
        <v>117</v>
      </c>
      <c r="F46" s="3" t="s">
        <v>562</v>
      </c>
      <c r="G46" s="3" t="s">
        <v>563</v>
      </c>
      <c r="H46" s="3" t="s">
        <v>377</v>
      </c>
      <c r="I46" s="3" t="s">
        <v>564</v>
      </c>
      <c r="J46" s="14">
        <f t="shared" si="2"/>
        <v>3</v>
      </c>
      <c r="K46" s="12">
        <v>1</v>
      </c>
      <c r="L46" s="12">
        <v>1</v>
      </c>
      <c r="M46" s="12">
        <v>1</v>
      </c>
      <c r="N46" s="12">
        <v>1</v>
      </c>
      <c r="O46" s="12">
        <v>1</v>
      </c>
      <c r="P46" s="12">
        <v>1</v>
      </c>
      <c r="Q46" s="12">
        <v>1</v>
      </c>
      <c r="R46" s="12">
        <f t="shared" si="3"/>
        <v>7</v>
      </c>
      <c r="S46" s="3" t="s">
        <v>565</v>
      </c>
    </row>
    <row r="47" spans="1:19" ht="30" customHeight="1" x14ac:dyDescent="0.45">
      <c r="A47" s="3" t="s">
        <v>200</v>
      </c>
      <c r="B47" s="3" t="s">
        <v>566</v>
      </c>
      <c r="C47" s="3" t="s">
        <v>560</v>
      </c>
      <c r="D47" s="3" t="s">
        <v>567</v>
      </c>
      <c r="E47" s="3" t="s">
        <v>117</v>
      </c>
      <c r="F47" s="3" t="s">
        <v>568</v>
      </c>
      <c r="G47" s="3" t="s">
        <v>569</v>
      </c>
      <c r="H47" s="3" t="s">
        <v>377</v>
      </c>
      <c r="I47" s="3" t="s">
        <v>394</v>
      </c>
      <c r="J47" s="14">
        <f t="shared" si="2"/>
        <v>3</v>
      </c>
      <c r="K47" s="12">
        <v>1</v>
      </c>
      <c r="L47" s="12">
        <v>1</v>
      </c>
      <c r="M47" s="12">
        <v>1</v>
      </c>
      <c r="N47" s="12">
        <v>1</v>
      </c>
      <c r="O47" s="12">
        <v>1</v>
      </c>
      <c r="P47" s="12">
        <v>1</v>
      </c>
      <c r="Q47" s="12">
        <v>1</v>
      </c>
      <c r="R47" s="12">
        <f t="shared" si="3"/>
        <v>7</v>
      </c>
      <c r="S47" s="3" t="s">
        <v>570</v>
      </c>
    </row>
    <row r="48" spans="1:19" ht="56.25" customHeight="1" x14ac:dyDescent="0.45">
      <c r="A48" s="3" t="s">
        <v>284</v>
      </c>
      <c r="B48" s="3" t="s">
        <v>571</v>
      </c>
      <c r="C48" s="3" t="s">
        <v>572</v>
      </c>
      <c r="D48" s="3" t="s">
        <v>573</v>
      </c>
      <c r="E48" s="3" t="s">
        <v>117</v>
      </c>
      <c r="F48" s="3" t="s">
        <v>574</v>
      </c>
      <c r="G48" s="3" t="s">
        <v>575</v>
      </c>
      <c r="H48" s="3" t="s">
        <v>377</v>
      </c>
      <c r="I48" s="3" t="s">
        <v>378</v>
      </c>
      <c r="J48" s="14">
        <f t="shared" si="2"/>
        <v>2</v>
      </c>
      <c r="K48" s="12">
        <v>1</v>
      </c>
      <c r="L48" s="12">
        <v>3</v>
      </c>
      <c r="M48" s="12">
        <v>3</v>
      </c>
      <c r="N48" s="12">
        <v>5</v>
      </c>
      <c r="O48" s="12">
        <v>1</v>
      </c>
      <c r="P48" s="12">
        <v>1</v>
      </c>
      <c r="Q48" s="12">
        <v>1</v>
      </c>
      <c r="R48" s="12">
        <f t="shared" si="3"/>
        <v>15</v>
      </c>
      <c r="S48" s="3" t="s">
        <v>576</v>
      </c>
    </row>
    <row r="49" spans="1:19" ht="30" customHeight="1" x14ac:dyDescent="0.45">
      <c r="A49" s="3" t="s">
        <v>284</v>
      </c>
      <c r="B49" s="3" t="s">
        <v>577</v>
      </c>
      <c r="C49" s="3" t="s">
        <v>578</v>
      </c>
      <c r="D49" s="3" t="s">
        <v>579</v>
      </c>
      <c r="E49" s="3" t="s">
        <v>117</v>
      </c>
      <c r="F49" s="3" t="s">
        <v>580</v>
      </c>
      <c r="G49" s="3" t="s">
        <v>581</v>
      </c>
      <c r="H49" s="3" t="s">
        <v>377</v>
      </c>
      <c r="I49" s="3" t="s">
        <v>465</v>
      </c>
      <c r="J49" s="14">
        <f t="shared" si="2"/>
        <v>3</v>
      </c>
      <c r="K49" s="12">
        <v>1</v>
      </c>
      <c r="L49" s="12">
        <v>1</v>
      </c>
      <c r="M49" s="12">
        <v>3</v>
      </c>
      <c r="N49" s="12">
        <v>1</v>
      </c>
      <c r="O49" s="12">
        <v>1</v>
      </c>
      <c r="P49" s="12">
        <v>1</v>
      </c>
      <c r="Q49" s="12">
        <v>1</v>
      </c>
      <c r="R49" s="12">
        <f t="shared" si="3"/>
        <v>9</v>
      </c>
      <c r="S49" s="3" t="s">
        <v>582</v>
      </c>
    </row>
    <row r="50" spans="1:19" ht="43.5" customHeight="1" x14ac:dyDescent="0.45">
      <c r="A50" s="3" t="s">
        <v>284</v>
      </c>
      <c r="B50" s="3" t="s">
        <v>583</v>
      </c>
      <c r="C50" s="3" t="s">
        <v>584</v>
      </c>
      <c r="D50" s="3" t="s">
        <v>585</v>
      </c>
      <c r="E50" s="3" t="s">
        <v>117</v>
      </c>
      <c r="F50" s="3" t="s">
        <v>586</v>
      </c>
      <c r="G50" s="3" t="s">
        <v>587</v>
      </c>
      <c r="H50" s="3" t="s">
        <v>377</v>
      </c>
      <c r="I50" s="3" t="s">
        <v>588</v>
      </c>
      <c r="J50" s="14">
        <f t="shared" si="2"/>
        <v>2</v>
      </c>
      <c r="K50" s="12">
        <v>1</v>
      </c>
      <c r="L50" s="12">
        <v>1</v>
      </c>
      <c r="M50" s="12">
        <v>5</v>
      </c>
      <c r="N50" s="12">
        <v>3</v>
      </c>
      <c r="O50" s="12">
        <v>1</v>
      </c>
      <c r="P50" s="12">
        <v>1</v>
      </c>
      <c r="Q50" s="12">
        <v>1</v>
      </c>
      <c r="R50" s="12">
        <f t="shared" si="3"/>
        <v>13</v>
      </c>
      <c r="S50" s="3" t="s">
        <v>589</v>
      </c>
    </row>
    <row r="51" spans="1:19" ht="30" customHeight="1" x14ac:dyDescent="0.45">
      <c r="A51" s="3" t="s">
        <v>284</v>
      </c>
      <c r="B51" s="3" t="s">
        <v>590</v>
      </c>
      <c r="C51" s="3" t="s">
        <v>591</v>
      </c>
      <c r="D51" s="3" t="s">
        <v>592</v>
      </c>
      <c r="E51" s="3" t="s">
        <v>117</v>
      </c>
      <c r="F51" s="3" t="s">
        <v>117</v>
      </c>
      <c r="G51" s="3" t="s">
        <v>593</v>
      </c>
      <c r="H51" s="3" t="s">
        <v>377</v>
      </c>
      <c r="I51" s="3" t="s">
        <v>394</v>
      </c>
      <c r="J51" s="14">
        <f t="shared" si="2"/>
        <v>3</v>
      </c>
      <c r="K51" s="12">
        <v>1</v>
      </c>
      <c r="L51" s="12">
        <v>1</v>
      </c>
      <c r="M51" s="12">
        <v>1</v>
      </c>
      <c r="N51" s="12">
        <v>1</v>
      </c>
      <c r="O51" s="12">
        <v>1</v>
      </c>
      <c r="P51" s="12">
        <v>1</v>
      </c>
      <c r="Q51" s="12">
        <v>1</v>
      </c>
      <c r="R51" s="12">
        <f t="shared" si="3"/>
        <v>7</v>
      </c>
      <c r="S51" s="3" t="s">
        <v>594</v>
      </c>
    </row>
    <row r="52" spans="1:19" ht="30" customHeight="1" x14ac:dyDescent="0.45">
      <c r="A52" s="3" t="s">
        <v>284</v>
      </c>
      <c r="B52" s="3" t="s">
        <v>595</v>
      </c>
      <c r="C52" s="3" t="s">
        <v>591</v>
      </c>
      <c r="D52" s="3" t="s">
        <v>596</v>
      </c>
      <c r="E52" s="3" t="s">
        <v>117</v>
      </c>
      <c r="F52" s="3" t="s">
        <v>117</v>
      </c>
      <c r="G52" s="3" t="s">
        <v>597</v>
      </c>
      <c r="H52" s="3" t="s">
        <v>377</v>
      </c>
      <c r="I52" s="3" t="s">
        <v>394</v>
      </c>
      <c r="J52" s="14">
        <f t="shared" si="2"/>
        <v>3</v>
      </c>
      <c r="K52" s="12">
        <v>1</v>
      </c>
      <c r="L52" s="12">
        <v>1</v>
      </c>
      <c r="M52" s="12">
        <v>1</v>
      </c>
      <c r="N52" s="12">
        <v>1</v>
      </c>
      <c r="O52" s="12">
        <v>1</v>
      </c>
      <c r="P52" s="12">
        <v>1</v>
      </c>
      <c r="Q52" s="12">
        <v>1</v>
      </c>
      <c r="R52" s="12">
        <f t="shared" si="3"/>
        <v>7</v>
      </c>
      <c r="S52" s="3" t="s">
        <v>594</v>
      </c>
    </row>
    <row r="53" spans="1:19" ht="30" customHeight="1" x14ac:dyDescent="0.45">
      <c r="A53" s="3" t="s">
        <v>284</v>
      </c>
      <c r="B53" s="3" t="s">
        <v>598</v>
      </c>
      <c r="C53" s="3" t="s">
        <v>599</v>
      </c>
      <c r="D53" s="3" t="s">
        <v>592</v>
      </c>
      <c r="E53" s="3" t="s">
        <v>117</v>
      </c>
      <c r="F53" s="3" t="s">
        <v>117</v>
      </c>
      <c r="G53" s="3" t="s">
        <v>593</v>
      </c>
      <c r="H53" s="3" t="s">
        <v>377</v>
      </c>
      <c r="I53" s="3" t="s">
        <v>394</v>
      </c>
      <c r="J53" s="14">
        <f t="shared" si="2"/>
        <v>3</v>
      </c>
      <c r="K53" s="12">
        <v>1</v>
      </c>
      <c r="L53" s="12">
        <v>1</v>
      </c>
      <c r="M53" s="12">
        <v>1</v>
      </c>
      <c r="N53" s="12">
        <v>1</v>
      </c>
      <c r="O53" s="12">
        <v>1</v>
      </c>
      <c r="P53" s="12">
        <v>1</v>
      </c>
      <c r="Q53" s="12">
        <v>1</v>
      </c>
      <c r="R53" s="12">
        <f t="shared" si="3"/>
        <v>7</v>
      </c>
      <c r="S53" s="3" t="s">
        <v>594</v>
      </c>
    </row>
    <row r="54" spans="1:19" ht="30" customHeight="1" x14ac:dyDescent="0.45">
      <c r="A54" s="3" t="s">
        <v>284</v>
      </c>
      <c r="B54" s="3" t="s">
        <v>600</v>
      </c>
      <c r="C54" s="3" t="s">
        <v>599</v>
      </c>
      <c r="D54" s="3" t="s">
        <v>592</v>
      </c>
      <c r="E54" s="3" t="s">
        <v>117</v>
      </c>
      <c r="F54" s="3" t="s">
        <v>117</v>
      </c>
      <c r="G54" s="3" t="s">
        <v>593</v>
      </c>
      <c r="H54" s="3" t="s">
        <v>377</v>
      </c>
      <c r="I54" s="3" t="s">
        <v>394</v>
      </c>
      <c r="J54" s="14">
        <f t="shared" si="2"/>
        <v>3</v>
      </c>
      <c r="K54" s="12">
        <v>1</v>
      </c>
      <c r="L54" s="12">
        <v>1</v>
      </c>
      <c r="M54" s="12">
        <v>1</v>
      </c>
      <c r="N54" s="12">
        <v>1</v>
      </c>
      <c r="O54" s="12">
        <v>1</v>
      </c>
      <c r="P54" s="12">
        <v>1</v>
      </c>
      <c r="Q54" s="12">
        <v>1</v>
      </c>
      <c r="R54" s="12">
        <f t="shared" si="3"/>
        <v>7</v>
      </c>
      <c r="S54" s="3" t="s">
        <v>594</v>
      </c>
    </row>
    <row r="55" spans="1:19" ht="30" customHeight="1" x14ac:dyDescent="0.45">
      <c r="A55" s="3" t="s">
        <v>284</v>
      </c>
      <c r="B55" s="3" t="s">
        <v>601</v>
      </c>
      <c r="C55" s="3" t="s">
        <v>599</v>
      </c>
      <c r="D55" s="3" t="s">
        <v>592</v>
      </c>
      <c r="E55" s="3" t="s">
        <v>117</v>
      </c>
      <c r="F55" s="3" t="s">
        <v>117</v>
      </c>
      <c r="G55" s="3" t="s">
        <v>593</v>
      </c>
      <c r="H55" s="3" t="s">
        <v>377</v>
      </c>
      <c r="I55" s="3" t="s">
        <v>394</v>
      </c>
      <c r="J55" s="14">
        <f t="shared" si="2"/>
        <v>3</v>
      </c>
      <c r="K55" s="12">
        <v>1</v>
      </c>
      <c r="L55" s="12">
        <v>1</v>
      </c>
      <c r="M55" s="12">
        <v>1</v>
      </c>
      <c r="N55" s="12">
        <v>1</v>
      </c>
      <c r="O55" s="12">
        <v>1</v>
      </c>
      <c r="P55" s="12">
        <v>1</v>
      </c>
      <c r="Q55" s="12">
        <v>1</v>
      </c>
      <c r="R55" s="12">
        <f t="shared" si="3"/>
        <v>7</v>
      </c>
      <c r="S55" s="3" t="s">
        <v>594</v>
      </c>
    </row>
    <row r="56" spans="1:19" ht="30" customHeight="1" x14ac:dyDescent="0.45">
      <c r="A56" s="3" t="s">
        <v>284</v>
      </c>
      <c r="B56" s="3" t="s">
        <v>602</v>
      </c>
      <c r="C56" s="3" t="s">
        <v>599</v>
      </c>
      <c r="D56" s="3" t="s">
        <v>592</v>
      </c>
      <c r="E56" s="3" t="s">
        <v>117</v>
      </c>
      <c r="F56" s="3" t="s">
        <v>117</v>
      </c>
      <c r="G56" s="3" t="s">
        <v>593</v>
      </c>
      <c r="H56" s="3" t="s">
        <v>377</v>
      </c>
      <c r="I56" s="3" t="s">
        <v>394</v>
      </c>
      <c r="J56" s="14">
        <f t="shared" si="2"/>
        <v>3</v>
      </c>
      <c r="K56" s="12">
        <v>1</v>
      </c>
      <c r="L56" s="12">
        <v>1</v>
      </c>
      <c r="M56" s="12">
        <v>1</v>
      </c>
      <c r="N56" s="12">
        <v>1</v>
      </c>
      <c r="O56" s="12">
        <v>1</v>
      </c>
      <c r="P56" s="12">
        <v>1</v>
      </c>
      <c r="Q56" s="12">
        <v>1</v>
      </c>
      <c r="R56" s="12">
        <f t="shared" si="3"/>
        <v>7</v>
      </c>
      <c r="S56" s="3" t="s">
        <v>594</v>
      </c>
    </row>
    <row r="57" spans="1:19" ht="30" customHeight="1" x14ac:dyDescent="0.45">
      <c r="A57" s="3" t="s">
        <v>284</v>
      </c>
      <c r="B57" s="3" t="s">
        <v>603</v>
      </c>
      <c r="C57" s="3" t="s">
        <v>604</v>
      </c>
      <c r="D57" s="3" t="s">
        <v>605</v>
      </c>
      <c r="E57" s="3" t="s">
        <v>117</v>
      </c>
      <c r="F57" s="3" t="s">
        <v>117</v>
      </c>
      <c r="G57" s="3" t="s">
        <v>593</v>
      </c>
      <c r="H57" s="3" t="s">
        <v>377</v>
      </c>
      <c r="I57" s="3" t="s">
        <v>394</v>
      </c>
      <c r="J57" s="14">
        <f t="shared" si="2"/>
        <v>3</v>
      </c>
      <c r="K57" s="12">
        <v>1</v>
      </c>
      <c r="L57" s="12">
        <v>1</v>
      </c>
      <c r="M57" s="12">
        <v>1</v>
      </c>
      <c r="N57" s="12">
        <v>1</v>
      </c>
      <c r="O57" s="12">
        <v>1</v>
      </c>
      <c r="P57" s="12">
        <v>1</v>
      </c>
      <c r="Q57" s="12">
        <v>1</v>
      </c>
      <c r="R57" s="12">
        <f t="shared" si="3"/>
        <v>7</v>
      </c>
      <c r="S57" s="3" t="s">
        <v>594</v>
      </c>
    </row>
    <row r="58" spans="1:19" ht="30" customHeight="1" x14ac:dyDescent="0.45">
      <c r="A58" s="3" t="s">
        <v>284</v>
      </c>
      <c r="B58" s="3" t="s">
        <v>606</v>
      </c>
      <c r="C58" s="3" t="s">
        <v>604</v>
      </c>
      <c r="D58" s="3" t="s">
        <v>605</v>
      </c>
      <c r="E58" s="3" t="s">
        <v>117</v>
      </c>
      <c r="F58" s="3" t="s">
        <v>117</v>
      </c>
      <c r="G58" s="3" t="s">
        <v>593</v>
      </c>
      <c r="H58" s="3" t="s">
        <v>377</v>
      </c>
      <c r="I58" s="3" t="s">
        <v>394</v>
      </c>
      <c r="J58" s="14">
        <f t="shared" si="2"/>
        <v>3</v>
      </c>
      <c r="K58" s="12">
        <v>1</v>
      </c>
      <c r="L58" s="12">
        <v>1</v>
      </c>
      <c r="M58" s="12">
        <v>1</v>
      </c>
      <c r="N58" s="12">
        <v>1</v>
      </c>
      <c r="O58" s="12">
        <v>1</v>
      </c>
      <c r="P58" s="12">
        <v>1</v>
      </c>
      <c r="Q58" s="12">
        <v>1</v>
      </c>
      <c r="R58" s="12">
        <f t="shared" si="3"/>
        <v>7</v>
      </c>
      <c r="S58" s="3" t="s">
        <v>594</v>
      </c>
    </row>
    <row r="59" spans="1:19" ht="43.5" customHeight="1" x14ac:dyDescent="0.45">
      <c r="A59" s="3" t="s">
        <v>284</v>
      </c>
      <c r="B59" s="3" t="s">
        <v>607</v>
      </c>
      <c r="C59" s="3" t="s">
        <v>608</v>
      </c>
      <c r="D59" s="3" t="s">
        <v>609</v>
      </c>
      <c r="E59" s="3" t="s">
        <v>117</v>
      </c>
      <c r="F59" s="3" t="s">
        <v>309</v>
      </c>
      <c r="G59" s="3" t="s">
        <v>610</v>
      </c>
      <c r="H59" s="3" t="s">
        <v>377</v>
      </c>
      <c r="I59" s="3" t="s">
        <v>611</v>
      </c>
      <c r="J59" s="14">
        <f t="shared" si="2"/>
        <v>2</v>
      </c>
      <c r="K59" s="12">
        <v>1</v>
      </c>
      <c r="L59" s="12">
        <v>3</v>
      </c>
      <c r="M59" s="12">
        <v>3</v>
      </c>
      <c r="N59" s="12">
        <v>3</v>
      </c>
      <c r="O59" s="12">
        <v>1</v>
      </c>
      <c r="P59" s="12">
        <v>1</v>
      </c>
      <c r="Q59" s="12">
        <v>1</v>
      </c>
      <c r="R59" s="12">
        <f t="shared" si="3"/>
        <v>13</v>
      </c>
      <c r="S59" s="3" t="s">
        <v>612</v>
      </c>
    </row>
    <row r="60" spans="1:19" ht="30" customHeight="1" x14ac:dyDescent="0.45">
      <c r="A60" s="3" t="s">
        <v>284</v>
      </c>
      <c r="B60" s="3" t="s">
        <v>613</v>
      </c>
      <c r="C60" s="3" t="s">
        <v>614</v>
      </c>
      <c r="D60" s="3" t="s">
        <v>615</v>
      </c>
      <c r="E60" s="3" t="s">
        <v>117</v>
      </c>
      <c r="F60" s="3" t="s">
        <v>117</v>
      </c>
      <c r="G60" s="3" t="s">
        <v>403</v>
      </c>
      <c r="H60" s="3" t="s">
        <v>377</v>
      </c>
      <c r="I60" s="3" t="s">
        <v>394</v>
      </c>
      <c r="J60" s="14">
        <f t="shared" si="2"/>
        <v>3</v>
      </c>
      <c r="K60" s="12">
        <v>1</v>
      </c>
      <c r="L60" s="12">
        <v>1</v>
      </c>
      <c r="M60" s="12">
        <v>1</v>
      </c>
      <c r="N60" s="12">
        <v>1</v>
      </c>
      <c r="O60" s="12">
        <v>1</v>
      </c>
      <c r="P60" s="12">
        <v>1</v>
      </c>
      <c r="Q60" s="12">
        <v>1</v>
      </c>
      <c r="R60" s="12">
        <f t="shared" si="3"/>
        <v>7</v>
      </c>
      <c r="S60" s="3" t="s">
        <v>616</v>
      </c>
    </row>
    <row r="61" spans="1:19" ht="30" customHeight="1" x14ac:dyDescent="0.45">
      <c r="A61" s="3" t="s">
        <v>284</v>
      </c>
      <c r="B61" s="3" t="s">
        <v>617</v>
      </c>
      <c r="C61" s="3" t="s">
        <v>614</v>
      </c>
      <c r="D61" s="3" t="s">
        <v>615</v>
      </c>
      <c r="E61" s="3" t="s">
        <v>117</v>
      </c>
      <c r="F61" s="3" t="s">
        <v>117</v>
      </c>
      <c r="G61" s="3" t="s">
        <v>403</v>
      </c>
      <c r="H61" s="3" t="s">
        <v>377</v>
      </c>
      <c r="I61" s="3" t="s">
        <v>394</v>
      </c>
      <c r="J61" s="14">
        <f t="shared" si="2"/>
        <v>3</v>
      </c>
      <c r="K61" s="12">
        <v>1</v>
      </c>
      <c r="L61" s="12">
        <v>1</v>
      </c>
      <c r="M61" s="12">
        <v>1</v>
      </c>
      <c r="N61" s="12">
        <v>1</v>
      </c>
      <c r="O61" s="12">
        <v>1</v>
      </c>
      <c r="P61" s="12">
        <v>1</v>
      </c>
      <c r="Q61" s="12">
        <v>1</v>
      </c>
      <c r="R61" s="12">
        <f t="shared" si="3"/>
        <v>7</v>
      </c>
      <c r="S61" s="3" t="s">
        <v>616</v>
      </c>
    </row>
    <row r="62" spans="1:19" ht="43.5" customHeight="1" x14ac:dyDescent="0.45">
      <c r="A62" s="3" t="s">
        <v>284</v>
      </c>
      <c r="B62" s="3" t="s">
        <v>618</v>
      </c>
      <c r="C62" s="2" t="s">
        <v>619</v>
      </c>
      <c r="D62" s="3" t="s">
        <v>620</v>
      </c>
      <c r="E62" s="3" t="s">
        <v>117</v>
      </c>
      <c r="F62" s="3" t="s">
        <v>117</v>
      </c>
      <c r="G62" s="3" t="s">
        <v>403</v>
      </c>
      <c r="H62" s="3" t="s">
        <v>377</v>
      </c>
      <c r="I62" s="3" t="s">
        <v>621</v>
      </c>
      <c r="J62" s="14">
        <f t="shared" si="2"/>
        <v>2</v>
      </c>
      <c r="K62" s="12">
        <v>1</v>
      </c>
      <c r="L62" s="12">
        <v>3</v>
      </c>
      <c r="M62" s="12">
        <v>1</v>
      </c>
      <c r="N62" s="12">
        <v>5</v>
      </c>
      <c r="O62" s="12">
        <v>5</v>
      </c>
      <c r="P62" s="12">
        <v>1</v>
      </c>
      <c r="Q62" s="12">
        <v>2</v>
      </c>
      <c r="R62" s="12">
        <f t="shared" si="3"/>
        <v>18</v>
      </c>
      <c r="S62" s="3" t="s">
        <v>622</v>
      </c>
    </row>
    <row r="63" spans="1:19" ht="56.25" customHeight="1" x14ac:dyDescent="0.45">
      <c r="A63" s="3" t="s">
        <v>328</v>
      </c>
      <c r="B63" s="3" t="s">
        <v>623</v>
      </c>
      <c r="C63" s="3" t="s">
        <v>624</v>
      </c>
      <c r="D63" s="2" t="s">
        <v>625</v>
      </c>
      <c r="E63" s="2" t="s">
        <v>626</v>
      </c>
      <c r="F63" s="3" t="s">
        <v>336</v>
      </c>
      <c r="G63" s="3" t="s">
        <v>627</v>
      </c>
      <c r="H63" s="3" t="s">
        <v>377</v>
      </c>
      <c r="I63" s="3" t="s">
        <v>628</v>
      </c>
      <c r="J63" s="14">
        <f t="shared" si="2"/>
        <v>2</v>
      </c>
      <c r="K63" s="12">
        <v>3</v>
      </c>
      <c r="L63" s="12">
        <v>1</v>
      </c>
      <c r="M63" s="12">
        <v>1</v>
      </c>
      <c r="N63" s="12">
        <v>5</v>
      </c>
      <c r="O63" s="12">
        <v>3</v>
      </c>
      <c r="P63" s="12">
        <v>3</v>
      </c>
      <c r="Q63" s="12">
        <v>1</v>
      </c>
      <c r="R63" s="12">
        <f t="shared" si="3"/>
        <v>17</v>
      </c>
      <c r="S63" s="3" t="s">
        <v>629</v>
      </c>
    </row>
    <row r="64" spans="1:19" ht="30" customHeight="1" x14ac:dyDescent="0.45">
      <c r="A64" s="3" t="s">
        <v>328</v>
      </c>
      <c r="B64" s="3" t="s">
        <v>630</v>
      </c>
      <c r="C64" s="3" t="s">
        <v>624</v>
      </c>
      <c r="D64" s="3" t="s">
        <v>631</v>
      </c>
      <c r="E64" s="3" t="s">
        <v>117</v>
      </c>
      <c r="F64" s="3" t="s">
        <v>117</v>
      </c>
      <c r="G64" s="3" t="s">
        <v>403</v>
      </c>
      <c r="H64" s="3" t="s">
        <v>377</v>
      </c>
      <c r="I64" s="3" t="s">
        <v>628</v>
      </c>
      <c r="J64" s="14">
        <f t="shared" si="2"/>
        <v>3</v>
      </c>
      <c r="K64" s="12">
        <v>1</v>
      </c>
      <c r="L64" s="12">
        <v>1</v>
      </c>
      <c r="M64" s="12">
        <v>1</v>
      </c>
      <c r="N64" s="12">
        <v>3</v>
      </c>
      <c r="O64" s="12">
        <v>1</v>
      </c>
      <c r="P64" s="12">
        <v>1</v>
      </c>
      <c r="Q64" s="12">
        <v>1</v>
      </c>
      <c r="R64" s="12">
        <f t="shared" si="3"/>
        <v>9</v>
      </c>
      <c r="S64" s="3" t="s">
        <v>632</v>
      </c>
    </row>
    <row r="65" spans="1:19" ht="30" customHeight="1" x14ac:dyDescent="0.45">
      <c r="A65" s="3" t="s">
        <v>328</v>
      </c>
      <c r="B65" s="3" t="s">
        <v>633</v>
      </c>
      <c r="C65" s="3" t="s">
        <v>634</v>
      </c>
      <c r="D65" s="3" t="s">
        <v>635</v>
      </c>
      <c r="E65" s="3" t="s">
        <v>117</v>
      </c>
      <c r="F65" s="3" t="s">
        <v>117</v>
      </c>
      <c r="G65" s="3" t="s">
        <v>403</v>
      </c>
      <c r="H65" s="3" t="s">
        <v>377</v>
      </c>
      <c r="I65" s="3" t="s">
        <v>384</v>
      </c>
      <c r="J65" s="14">
        <f t="shared" si="2"/>
        <v>3</v>
      </c>
      <c r="K65" s="12">
        <v>1</v>
      </c>
      <c r="L65" s="12">
        <v>1</v>
      </c>
      <c r="M65" s="12">
        <v>1</v>
      </c>
      <c r="N65" s="12">
        <v>3</v>
      </c>
      <c r="O65" s="12">
        <v>1</v>
      </c>
      <c r="P65" s="12">
        <v>1</v>
      </c>
      <c r="Q65" s="12">
        <v>1</v>
      </c>
      <c r="R65" s="12">
        <f t="shared" si="3"/>
        <v>9</v>
      </c>
      <c r="S65" s="3" t="s">
        <v>636</v>
      </c>
    </row>
    <row r="66" spans="1:19" ht="30" customHeight="1" x14ac:dyDescent="0.45">
      <c r="A66" s="3" t="s">
        <v>328</v>
      </c>
      <c r="B66" s="3" t="s">
        <v>637</v>
      </c>
      <c r="C66" s="3" t="s">
        <v>638</v>
      </c>
      <c r="D66" s="3" t="s">
        <v>639</v>
      </c>
      <c r="E66" s="3" t="s">
        <v>117</v>
      </c>
      <c r="F66" s="3" t="s">
        <v>117</v>
      </c>
      <c r="G66" s="3" t="s">
        <v>403</v>
      </c>
      <c r="H66" s="3" t="s">
        <v>377</v>
      </c>
      <c r="I66" s="3" t="s">
        <v>394</v>
      </c>
      <c r="J66" s="14">
        <f t="shared" ref="J66:J76" si="4">IF(R66&gt;=24,1,IF(R66&gt;=12,2,3))</f>
        <v>3</v>
      </c>
      <c r="K66" s="12">
        <v>1</v>
      </c>
      <c r="L66" s="12">
        <v>1</v>
      </c>
      <c r="M66" s="12">
        <v>1</v>
      </c>
      <c r="N66" s="12">
        <v>1</v>
      </c>
      <c r="O66" s="12">
        <v>1</v>
      </c>
      <c r="P66" s="12">
        <v>1</v>
      </c>
      <c r="Q66" s="12">
        <v>1</v>
      </c>
      <c r="R66" s="12">
        <f t="shared" ref="R66:R97" si="5">SUM(K66:Q66)</f>
        <v>7</v>
      </c>
      <c r="S66" s="3" t="s">
        <v>636</v>
      </c>
    </row>
    <row r="67" spans="1:19" ht="43.5" customHeight="1" x14ac:dyDescent="0.45">
      <c r="A67" s="3" t="s">
        <v>328</v>
      </c>
      <c r="B67" s="3" t="s">
        <v>640</v>
      </c>
      <c r="C67" s="3" t="s">
        <v>641</v>
      </c>
      <c r="D67" s="3" t="s">
        <v>642</v>
      </c>
      <c r="E67" s="3" t="s">
        <v>117</v>
      </c>
      <c r="F67" s="3" t="s">
        <v>643</v>
      </c>
      <c r="G67" s="3" t="s">
        <v>644</v>
      </c>
      <c r="H67" s="3" t="s">
        <v>377</v>
      </c>
      <c r="I67" s="3" t="s">
        <v>645</v>
      </c>
      <c r="J67" s="14">
        <f t="shared" si="4"/>
        <v>2</v>
      </c>
      <c r="K67" s="12">
        <v>1</v>
      </c>
      <c r="L67" s="12">
        <v>3</v>
      </c>
      <c r="M67" s="12">
        <v>3</v>
      </c>
      <c r="N67" s="12">
        <v>5</v>
      </c>
      <c r="O67" s="12">
        <v>1</v>
      </c>
      <c r="P67" s="12">
        <v>1</v>
      </c>
      <c r="Q67" s="12">
        <v>1</v>
      </c>
      <c r="R67" s="12">
        <f t="shared" si="5"/>
        <v>15</v>
      </c>
      <c r="S67" s="3" t="s">
        <v>646</v>
      </c>
    </row>
    <row r="68" spans="1:19" ht="30" customHeight="1" x14ac:dyDescent="0.45">
      <c r="A68" s="3" t="s">
        <v>328</v>
      </c>
      <c r="B68" s="3" t="s">
        <v>647</v>
      </c>
      <c r="C68" s="3" t="s">
        <v>648</v>
      </c>
      <c r="D68" s="3" t="s">
        <v>649</v>
      </c>
      <c r="E68" s="3" t="s">
        <v>117</v>
      </c>
      <c r="F68" s="3" t="s">
        <v>650</v>
      </c>
      <c r="G68" s="3" t="s">
        <v>651</v>
      </c>
      <c r="H68" s="3" t="s">
        <v>377</v>
      </c>
      <c r="I68" s="3" t="s">
        <v>652</v>
      </c>
      <c r="J68" s="14">
        <f t="shared" si="4"/>
        <v>3</v>
      </c>
      <c r="K68" s="12">
        <v>1</v>
      </c>
      <c r="L68" s="12">
        <v>1</v>
      </c>
      <c r="M68" s="12">
        <v>3</v>
      </c>
      <c r="N68" s="12">
        <v>3</v>
      </c>
      <c r="O68" s="12">
        <v>1</v>
      </c>
      <c r="P68" s="12">
        <v>1</v>
      </c>
      <c r="Q68" s="12">
        <v>1</v>
      </c>
      <c r="R68" s="12">
        <f t="shared" si="5"/>
        <v>11</v>
      </c>
      <c r="S68" s="3" t="s">
        <v>653</v>
      </c>
    </row>
    <row r="69" spans="1:19" ht="30" customHeight="1" x14ac:dyDescent="0.45">
      <c r="A69" s="3" t="s">
        <v>328</v>
      </c>
      <c r="B69" s="3" t="s">
        <v>654</v>
      </c>
      <c r="C69" s="3" t="s">
        <v>655</v>
      </c>
      <c r="D69" s="3" t="s">
        <v>656</v>
      </c>
      <c r="E69" s="3" t="s">
        <v>117</v>
      </c>
      <c r="F69" s="3" t="s">
        <v>657</v>
      </c>
      <c r="G69" s="3" t="s">
        <v>651</v>
      </c>
      <c r="H69" s="3" t="s">
        <v>377</v>
      </c>
      <c r="I69" s="3" t="s">
        <v>394</v>
      </c>
      <c r="J69" s="14">
        <f t="shared" si="4"/>
        <v>3</v>
      </c>
      <c r="K69" s="12">
        <v>1</v>
      </c>
      <c r="L69" s="12">
        <v>1</v>
      </c>
      <c r="M69" s="12">
        <v>1</v>
      </c>
      <c r="N69" s="12">
        <v>1</v>
      </c>
      <c r="O69" s="12">
        <v>1</v>
      </c>
      <c r="P69" s="12">
        <v>1</v>
      </c>
      <c r="Q69" s="12">
        <v>1</v>
      </c>
      <c r="R69" s="12">
        <f t="shared" si="5"/>
        <v>7</v>
      </c>
      <c r="S69" s="3" t="s">
        <v>658</v>
      </c>
    </row>
    <row r="70" spans="1:19" ht="43.5" customHeight="1" x14ac:dyDescent="0.45">
      <c r="A70" s="3" t="s">
        <v>328</v>
      </c>
      <c r="B70" s="3" t="s">
        <v>659</v>
      </c>
      <c r="C70" s="3" t="s">
        <v>660</v>
      </c>
      <c r="D70" s="3" t="s">
        <v>661</v>
      </c>
      <c r="E70" s="3" t="s">
        <v>117</v>
      </c>
      <c r="F70" s="3" t="s">
        <v>117</v>
      </c>
      <c r="G70" s="3" t="s">
        <v>662</v>
      </c>
      <c r="H70" s="3" t="s">
        <v>377</v>
      </c>
      <c r="I70" s="3" t="s">
        <v>663</v>
      </c>
      <c r="J70" s="14">
        <f t="shared" si="4"/>
        <v>2</v>
      </c>
      <c r="K70" s="12">
        <v>1</v>
      </c>
      <c r="L70" s="12">
        <v>3</v>
      </c>
      <c r="M70" s="12">
        <v>1</v>
      </c>
      <c r="N70" s="12">
        <v>5</v>
      </c>
      <c r="O70" s="12">
        <v>3</v>
      </c>
      <c r="P70" s="12">
        <v>3</v>
      </c>
      <c r="Q70" s="12">
        <v>1</v>
      </c>
      <c r="R70" s="12">
        <f t="shared" si="5"/>
        <v>17</v>
      </c>
      <c r="S70" s="3" t="s">
        <v>664</v>
      </c>
    </row>
    <row r="71" spans="1:19" ht="30" customHeight="1" x14ac:dyDescent="0.45">
      <c r="A71" s="3" t="s">
        <v>328</v>
      </c>
      <c r="B71" s="3" t="s">
        <v>665</v>
      </c>
      <c r="C71" s="3" t="s">
        <v>666</v>
      </c>
      <c r="D71" s="3" t="s">
        <v>667</v>
      </c>
      <c r="E71" s="3" t="s">
        <v>117</v>
      </c>
      <c r="F71" s="3" t="s">
        <v>117</v>
      </c>
      <c r="G71" s="3" t="s">
        <v>668</v>
      </c>
      <c r="H71" s="3" t="s">
        <v>377</v>
      </c>
      <c r="I71" s="3" t="s">
        <v>394</v>
      </c>
      <c r="J71" s="14">
        <f t="shared" si="4"/>
        <v>3</v>
      </c>
      <c r="K71" s="12">
        <v>1</v>
      </c>
      <c r="L71" s="12">
        <v>1</v>
      </c>
      <c r="M71" s="12">
        <v>1</v>
      </c>
      <c r="N71" s="12">
        <v>1</v>
      </c>
      <c r="O71" s="12">
        <v>1</v>
      </c>
      <c r="P71" s="12">
        <v>1</v>
      </c>
      <c r="Q71" s="12">
        <v>1</v>
      </c>
      <c r="R71" s="12">
        <f t="shared" si="5"/>
        <v>7</v>
      </c>
      <c r="S71" s="3" t="s">
        <v>669</v>
      </c>
    </row>
    <row r="72" spans="1:19" ht="30" customHeight="1" x14ac:dyDescent="0.45">
      <c r="A72" s="3" t="s">
        <v>328</v>
      </c>
      <c r="B72" s="3" t="s">
        <v>670</v>
      </c>
      <c r="C72" s="3" t="s">
        <v>666</v>
      </c>
      <c r="D72" s="3" t="s">
        <v>671</v>
      </c>
      <c r="E72" s="3" t="s">
        <v>117</v>
      </c>
      <c r="F72" s="3" t="s">
        <v>117</v>
      </c>
      <c r="G72" s="3" t="s">
        <v>672</v>
      </c>
      <c r="H72" s="3" t="s">
        <v>377</v>
      </c>
      <c r="I72" s="3" t="s">
        <v>394</v>
      </c>
      <c r="J72" s="14">
        <f t="shared" si="4"/>
        <v>3</v>
      </c>
      <c r="K72" s="12">
        <v>1</v>
      </c>
      <c r="L72" s="12">
        <v>1</v>
      </c>
      <c r="M72" s="12">
        <v>1</v>
      </c>
      <c r="N72" s="12">
        <v>1</v>
      </c>
      <c r="O72" s="12">
        <v>1</v>
      </c>
      <c r="P72" s="12">
        <v>1</v>
      </c>
      <c r="Q72" s="12">
        <v>1</v>
      </c>
      <c r="R72" s="12">
        <f t="shared" si="5"/>
        <v>7</v>
      </c>
      <c r="S72" s="3" t="s">
        <v>673</v>
      </c>
    </row>
    <row r="73" spans="1:19" ht="30" customHeight="1" x14ac:dyDescent="0.45">
      <c r="A73" s="3" t="s">
        <v>328</v>
      </c>
      <c r="B73" s="3" t="s">
        <v>674</v>
      </c>
      <c r="C73" s="2" t="s">
        <v>675</v>
      </c>
      <c r="D73" s="3" t="s">
        <v>676</v>
      </c>
      <c r="E73" s="3" t="s">
        <v>117</v>
      </c>
      <c r="F73" s="3" t="s">
        <v>117</v>
      </c>
      <c r="G73" s="3" t="s">
        <v>677</v>
      </c>
      <c r="H73" s="3" t="s">
        <v>377</v>
      </c>
      <c r="I73" s="3" t="s">
        <v>551</v>
      </c>
      <c r="J73" s="14">
        <f t="shared" si="4"/>
        <v>3</v>
      </c>
      <c r="K73" s="12">
        <v>1</v>
      </c>
      <c r="L73" s="12">
        <v>1</v>
      </c>
      <c r="M73" s="12">
        <v>1</v>
      </c>
      <c r="N73" s="12">
        <v>1</v>
      </c>
      <c r="O73" s="12">
        <v>1</v>
      </c>
      <c r="P73" s="12">
        <v>1</v>
      </c>
      <c r="Q73" s="12">
        <v>1</v>
      </c>
      <c r="R73" s="12">
        <f t="shared" si="5"/>
        <v>7</v>
      </c>
      <c r="S73" s="3" t="s">
        <v>673</v>
      </c>
    </row>
    <row r="74" spans="1:19" ht="30" customHeight="1" x14ac:dyDescent="0.45">
      <c r="A74" s="3" t="s">
        <v>328</v>
      </c>
      <c r="B74" s="3" t="s">
        <v>678</v>
      </c>
      <c r="C74" s="2" t="s">
        <v>679</v>
      </c>
      <c r="D74" s="3" t="s">
        <v>680</v>
      </c>
      <c r="E74" s="3" t="s">
        <v>117</v>
      </c>
      <c r="F74" s="3" t="s">
        <v>117</v>
      </c>
      <c r="G74" s="3" t="s">
        <v>403</v>
      </c>
      <c r="H74" s="3" t="s">
        <v>377</v>
      </c>
      <c r="I74" s="3" t="s">
        <v>681</v>
      </c>
      <c r="J74" s="14">
        <f t="shared" si="4"/>
        <v>2</v>
      </c>
      <c r="K74" s="12">
        <v>1</v>
      </c>
      <c r="L74" s="12">
        <v>1</v>
      </c>
      <c r="M74" s="12">
        <v>1</v>
      </c>
      <c r="N74" s="12">
        <v>3</v>
      </c>
      <c r="O74" s="12">
        <v>5</v>
      </c>
      <c r="P74" s="12">
        <v>1</v>
      </c>
      <c r="Q74" s="12">
        <v>1</v>
      </c>
      <c r="R74" s="12">
        <f t="shared" si="5"/>
        <v>13</v>
      </c>
      <c r="S74" s="3" t="s">
        <v>682</v>
      </c>
    </row>
    <row r="75" spans="1:19" ht="30" customHeight="1" x14ac:dyDescent="0.45">
      <c r="A75" s="3" t="s">
        <v>328</v>
      </c>
      <c r="B75" s="3" t="s">
        <v>683</v>
      </c>
      <c r="C75" s="3" t="s">
        <v>684</v>
      </c>
      <c r="D75" s="3" t="s">
        <v>685</v>
      </c>
      <c r="E75" s="3" t="s">
        <v>117</v>
      </c>
      <c r="F75" s="3" t="s">
        <v>117</v>
      </c>
      <c r="G75" s="3" t="s">
        <v>451</v>
      </c>
      <c r="H75" s="3" t="s">
        <v>377</v>
      </c>
      <c r="I75" s="3" t="s">
        <v>452</v>
      </c>
      <c r="J75" s="14">
        <f t="shared" si="4"/>
        <v>3</v>
      </c>
      <c r="K75" s="12">
        <v>1</v>
      </c>
      <c r="L75" s="12">
        <v>1</v>
      </c>
      <c r="M75" s="12">
        <v>1</v>
      </c>
      <c r="N75" s="12">
        <v>3</v>
      </c>
      <c r="O75" s="12">
        <v>1</v>
      </c>
      <c r="P75" s="12">
        <v>1</v>
      </c>
      <c r="Q75" s="12">
        <v>1</v>
      </c>
      <c r="R75" s="12">
        <f t="shared" si="5"/>
        <v>9</v>
      </c>
      <c r="S75" s="3" t="s">
        <v>453</v>
      </c>
    </row>
    <row r="76" spans="1:19" ht="30" customHeight="1" x14ac:dyDescent="0.45">
      <c r="A76" s="3" t="s">
        <v>328</v>
      </c>
      <c r="B76" s="3" t="s">
        <v>686</v>
      </c>
      <c r="C76" s="2" t="s">
        <v>687</v>
      </c>
      <c r="D76" s="3" t="s">
        <v>688</v>
      </c>
      <c r="E76" s="3" t="s">
        <v>117</v>
      </c>
      <c r="F76" s="3" t="s">
        <v>117</v>
      </c>
      <c r="G76" s="3" t="s">
        <v>689</v>
      </c>
      <c r="H76" s="3" t="s">
        <v>377</v>
      </c>
      <c r="I76" s="3" t="s">
        <v>394</v>
      </c>
      <c r="J76" s="14">
        <f t="shared" si="4"/>
        <v>3</v>
      </c>
      <c r="K76" s="12">
        <v>1</v>
      </c>
      <c r="L76" s="12">
        <v>1</v>
      </c>
      <c r="M76" s="12">
        <v>1</v>
      </c>
      <c r="N76" s="12">
        <v>1</v>
      </c>
      <c r="O76" s="12">
        <v>1</v>
      </c>
      <c r="P76" s="12">
        <v>1</v>
      </c>
      <c r="Q76" s="12">
        <v>1</v>
      </c>
      <c r="R76" s="12">
        <f t="shared" si="5"/>
        <v>7</v>
      </c>
      <c r="S76" s="3" t="s">
        <v>690</v>
      </c>
    </row>
  </sheetData>
  <autoFilter ref="A1:S7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3046875" defaultRowHeight="15" customHeight="1" x14ac:dyDescent="0.45"/>
  <cols>
    <col min="1" max="1" width="34" customWidth="1"/>
    <col min="2" max="5" width="14" customWidth="1"/>
    <col min="6" max="6" width="18" customWidth="1"/>
    <col min="7" max="7" width="100" customWidth="1"/>
  </cols>
  <sheetData>
    <row r="1" spans="1:7" ht="17.649999999999999" x14ac:dyDescent="0.5">
      <c r="A1" s="15" t="s">
        <v>691</v>
      </c>
    </row>
    <row r="3" spans="1:7" ht="24" customHeight="1" x14ac:dyDescent="0.45">
      <c r="A3" s="8" t="s">
        <v>692</v>
      </c>
      <c r="B3" s="9"/>
      <c r="C3" s="9"/>
      <c r="D3" s="9"/>
      <c r="E3" s="9"/>
      <c r="F3" s="9"/>
      <c r="G3" s="9"/>
    </row>
    <row r="4" spans="1:7" ht="48" customHeight="1" x14ac:dyDescent="0.45">
      <c r="A4" s="10" t="s">
        <v>78</v>
      </c>
      <c r="B4" s="10" t="s">
        <v>693</v>
      </c>
      <c r="C4" s="10" t="s">
        <v>694</v>
      </c>
      <c r="D4" s="10" t="s">
        <v>695</v>
      </c>
      <c r="E4" s="10" t="s">
        <v>696</v>
      </c>
      <c r="F4" s="10" t="s">
        <v>697</v>
      </c>
      <c r="G4" s="10" t="s">
        <v>90</v>
      </c>
    </row>
    <row r="5" spans="1:7" ht="43.5" customHeight="1" x14ac:dyDescent="0.45">
      <c r="A5" s="3" t="s">
        <v>91</v>
      </c>
      <c r="B5" s="12">
        <f>COUNTIFS(Country_Centres!$A$2:$A$42,$A5,Country_Centres!$B$2:$B$42,1)</f>
        <v>2</v>
      </c>
      <c r="C5" s="12">
        <f>COUNTIFS(Country_Centres!$A$2:$A$42,$A5,Country_Centres!$B$2:$B$42,2)</f>
        <v>2</v>
      </c>
      <c r="D5" s="12">
        <f>COUNTIFS(Country_Centres!$A$2:$A$42,$A5,Country_Centres!$B$2:$B$42,3)</f>
        <v>4</v>
      </c>
      <c r="E5" s="12">
        <f>COUNTIFS(Country_Centres!$A$2:$A$42,$A5,Country_Centres!$B$2:$B$42,4)</f>
        <v>0</v>
      </c>
      <c r="F5" s="12">
        <f>SUM(B5:E5)</f>
        <v>8</v>
      </c>
      <c r="G5" s="3" t="s">
        <v>698</v>
      </c>
    </row>
    <row r="6" spans="1:7" ht="30" customHeight="1" x14ac:dyDescent="0.45">
      <c r="A6" s="3" t="s">
        <v>150</v>
      </c>
      <c r="B6" s="12">
        <f>COUNTIFS(Country_Centres!$A$2:$A$42,$A6,Country_Centres!$B$2:$B$42,1)</f>
        <v>2</v>
      </c>
      <c r="C6" s="12">
        <f>COUNTIFS(Country_Centres!$A$2:$A$42,$A6,Country_Centres!$B$2:$B$42,2)</f>
        <v>3</v>
      </c>
      <c r="D6" s="12">
        <f>COUNTIFS(Country_Centres!$A$2:$A$42,$A6,Country_Centres!$B$2:$B$42,3)</f>
        <v>3</v>
      </c>
      <c r="E6" s="12">
        <f>COUNTIFS(Country_Centres!$A$2:$A$42,$A6,Country_Centres!$B$2:$B$42,4)</f>
        <v>0</v>
      </c>
      <c r="F6" s="12">
        <f>SUM(B6:E6)</f>
        <v>8</v>
      </c>
      <c r="G6" s="3" t="s">
        <v>699</v>
      </c>
    </row>
    <row r="7" spans="1:7" ht="30" customHeight="1" x14ac:dyDescent="0.45">
      <c r="A7" s="3" t="s">
        <v>200</v>
      </c>
      <c r="B7" s="12">
        <f>COUNTIFS(Country_Centres!$A$2:$A$42,$A7,Country_Centres!$B$2:$B$42,1)</f>
        <v>1</v>
      </c>
      <c r="C7" s="12">
        <f>COUNTIFS(Country_Centres!$A$2:$A$42,$A7,Country_Centres!$B$2:$B$42,2)</f>
        <v>5</v>
      </c>
      <c r="D7" s="12">
        <f>COUNTIFS(Country_Centres!$A$2:$A$42,$A7,Country_Centres!$B$2:$B$42,3)</f>
        <v>9</v>
      </c>
      <c r="E7" s="12">
        <f>COUNTIFS(Country_Centres!$A$2:$A$42,$A7,Country_Centres!$B$2:$B$42,4)</f>
        <v>0</v>
      </c>
      <c r="F7" s="12">
        <f>SUM(B7:E7)</f>
        <v>15</v>
      </c>
      <c r="G7" s="3" t="s">
        <v>700</v>
      </c>
    </row>
    <row r="8" spans="1:7" ht="30" customHeight="1" x14ac:dyDescent="0.45">
      <c r="A8" s="3" t="s">
        <v>284</v>
      </c>
      <c r="B8" s="12">
        <f>COUNTIFS(Country_Centres!$A$2:$A$42,$A8,Country_Centres!$B$2:$B$42,1)</f>
        <v>2</v>
      </c>
      <c r="C8" s="12">
        <f>COUNTIFS(Country_Centres!$A$2:$A$42,$A8,Country_Centres!$B$2:$B$42,2)</f>
        <v>2</v>
      </c>
      <c r="D8" s="12">
        <f>COUNTIFS(Country_Centres!$A$2:$A$42,$A8,Country_Centres!$B$2:$B$42,3)</f>
        <v>3</v>
      </c>
      <c r="E8" s="12">
        <f>COUNTIFS(Country_Centres!$A$2:$A$42,$A8,Country_Centres!$B$2:$B$42,4)</f>
        <v>0</v>
      </c>
      <c r="F8" s="12">
        <f>SUM(B8:E8)</f>
        <v>7</v>
      </c>
      <c r="G8" s="3" t="s">
        <v>701</v>
      </c>
    </row>
    <row r="9" spans="1:7" ht="30" customHeight="1" x14ac:dyDescent="0.45">
      <c r="A9" s="3" t="s">
        <v>328</v>
      </c>
      <c r="B9" s="12">
        <f>COUNTIFS(Country_Centres!$A$2:$A$42,$A9,Country_Centres!$B$2:$B$42,1)</f>
        <v>2</v>
      </c>
      <c r="C9" s="12">
        <f>COUNTIFS(Country_Centres!$A$2:$A$42,$A9,Country_Centres!$B$2:$B$42,2)</f>
        <v>1</v>
      </c>
      <c r="D9" s="12">
        <f>COUNTIFS(Country_Centres!$A$2:$A$42,$A9,Country_Centres!$B$2:$B$42,3)</f>
        <v>0</v>
      </c>
      <c r="E9" s="12">
        <f>COUNTIFS(Country_Centres!$A$2:$A$42,$A9,Country_Centres!$B$2:$B$42,4)</f>
        <v>0</v>
      </c>
      <c r="F9" s="12">
        <f>SUM(B9:E9)</f>
        <v>3</v>
      </c>
      <c r="G9" s="3" t="s">
        <v>702</v>
      </c>
    </row>
    <row r="10" spans="1:7" ht="14.25" x14ac:dyDescent="0.45">
      <c r="A10" s="16" t="s">
        <v>703</v>
      </c>
      <c r="B10" s="17">
        <f>SUBTOTAL(9,B5:B9)</f>
        <v>9</v>
      </c>
      <c r="C10" s="17">
        <f>SUBTOTAL(9,C5:C9)</f>
        <v>13</v>
      </c>
      <c r="D10" s="17">
        <f>SUBTOTAL(9,D5:D9)</f>
        <v>19</v>
      </c>
      <c r="E10" s="17">
        <f>SUBTOTAL(9,E5:E9)</f>
        <v>0</v>
      </c>
      <c r="F10" s="17">
        <f>SUBTOTAL(9,F5:F9)</f>
        <v>41</v>
      </c>
      <c r="G10" s="16" t="s">
        <v>704</v>
      </c>
    </row>
    <row r="11" spans="1:7" ht="14.25" x14ac:dyDescent="0.45">
      <c r="A11" s="18" t="s">
        <v>705</v>
      </c>
      <c r="F11" s="18">
        <f>COUNTA(Country_Centres!$A$2:$A$42)</f>
        <v>41</v>
      </c>
      <c r="G11" s="18" t="str">
        <f>IF(F11=F10,"OK — matrix reconciles to flat table","MISMATCH")</f>
        <v>OK — matrix reconciles to flat table</v>
      </c>
    </row>
    <row r="13" spans="1:7" ht="24" customHeight="1" x14ac:dyDescent="0.45">
      <c r="A13" s="8" t="s">
        <v>706</v>
      </c>
      <c r="B13" s="9"/>
      <c r="C13" s="9"/>
      <c r="D13" s="9"/>
      <c r="E13" s="9"/>
      <c r="F13" s="9"/>
      <c r="G13" s="9"/>
    </row>
    <row r="14" spans="1:7" ht="48" customHeight="1" x14ac:dyDescent="0.45">
      <c r="A14" s="10" t="s">
        <v>707</v>
      </c>
      <c r="B14" s="10" t="s">
        <v>708</v>
      </c>
      <c r="C14" s="10"/>
      <c r="D14" s="10"/>
      <c r="E14" s="10"/>
      <c r="F14" s="10"/>
      <c r="G14" s="10" t="s">
        <v>709</v>
      </c>
    </row>
    <row r="15" spans="1:7" ht="30" customHeight="1" x14ac:dyDescent="0.45">
      <c r="A15" s="3" t="s">
        <v>710</v>
      </c>
      <c r="B15" s="19">
        <f>COUNTIF(Country_Centres!$H$2:$H$42,"Yes*")</f>
        <v>1</v>
      </c>
      <c r="C15" s="3"/>
      <c r="D15" s="3"/>
      <c r="E15" s="3"/>
      <c r="F15" s="3"/>
      <c r="G15" s="3" t="s">
        <v>711</v>
      </c>
    </row>
    <row r="16" spans="1:7" ht="30" customHeight="1" x14ac:dyDescent="0.45">
      <c r="A16" s="3" t="s">
        <v>712</v>
      </c>
      <c r="B16" s="19">
        <f>COUNTIF(Country_Centres!$H$2:$H$42,"Qualified*")</f>
        <v>1</v>
      </c>
      <c r="C16" s="3"/>
      <c r="D16" s="3"/>
      <c r="E16" s="3"/>
      <c r="F16" s="3"/>
      <c r="G16" s="3" t="s">
        <v>713</v>
      </c>
    </row>
    <row r="17" spans="1:7" ht="30" customHeight="1" x14ac:dyDescent="0.45">
      <c r="A17" s="3" t="s">
        <v>714</v>
      </c>
      <c r="B17" s="19">
        <f>COUNTIF(Country_Centres!$I$2:$I$42,"*disease*")</f>
        <v>13</v>
      </c>
      <c r="C17" s="3"/>
      <c r="D17" s="3"/>
      <c r="E17" s="3"/>
      <c r="F17" s="3"/>
      <c r="G17" s="3" t="s">
        <v>715</v>
      </c>
    </row>
    <row r="18" spans="1:7" ht="30" customHeight="1" x14ac:dyDescent="0.45">
      <c r="A18" s="3" t="s">
        <v>716</v>
      </c>
      <c r="B18" s="19">
        <f>COUNTIF(Country_Centres!$I$2:$I$42,"*ION582*")</f>
        <v>9</v>
      </c>
      <c r="C18" s="3"/>
      <c r="D18" s="3"/>
      <c r="E18" s="3"/>
      <c r="F18" s="3"/>
      <c r="G18" s="3" t="s">
        <v>717</v>
      </c>
    </row>
    <row r="19" spans="1:7" ht="30" customHeight="1" x14ac:dyDescent="0.45">
      <c r="A19" s="3" t="s">
        <v>718</v>
      </c>
      <c r="B19" s="19">
        <f>COUNTIF(Country_Centres!$I$2:$I$42,"*competitor*")</f>
        <v>8</v>
      </c>
      <c r="C19" s="3"/>
      <c r="D19" s="3"/>
      <c r="E19" s="3"/>
      <c r="F19" s="3"/>
      <c r="G19" s="3" t="s">
        <v>719</v>
      </c>
    </row>
    <row r="20" spans="1:7" ht="30" customHeight="1" x14ac:dyDescent="0.45">
      <c r="A20" s="3" t="s">
        <v>720</v>
      </c>
      <c r="B20" s="19">
        <f>SUMPRODUCT(--((ISNUMBER(SEARCH("ION582",Country_Centres!$I$2:$I$42))+ISNUMBER(SEARCH("competitor",Country_Centres!$I$2:$I$42)))&gt;0))</f>
        <v>14</v>
      </c>
      <c r="C20" s="3"/>
      <c r="D20" s="3"/>
      <c r="E20" s="3"/>
      <c r="F20" s="3"/>
      <c r="G20" s="3" t="s">
        <v>721</v>
      </c>
    </row>
    <row r="21" spans="1:7" ht="16.5" customHeight="1" x14ac:dyDescent="0.45">
      <c r="A21" s="3" t="s">
        <v>722</v>
      </c>
      <c r="B21" s="19">
        <f>COUNTIF(Country_Centres!$J$2:$J$42,"Coordinator*")</f>
        <v>6</v>
      </c>
      <c r="C21" s="3"/>
      <c r="D21" s="3"/>
      <c r="E21" s="3"/>
      <c r="F21" s="3"/>
      <c r="G21" s="3" t="s">
        <v>723</v>
      </c>
    </row>
    <row r="22" spans="1:7" ht="16.5" customHeight="1" x14ac:dyDescent="0.45">
      <c r="A22" s="3" t="s">
        <v>724</v>
      </c>
      <c r="B22" s="19">
        <f>COUNTIF(Country_Centres!$J$2:$J$42,"Site*")</f>
        <v>11</v>
      </c>
      <c r="C22" s="3"/>
      <c r="D22" s="3"/>
      <c r="E22" s="3"/>
      <c r="F22" s="3"/>
      <c r="G22" s="3" t="s">
        <v>725</v>
      </c>
    </row>
    <row r="23" spans="1:7" ht="30" customHeight="1" x14ac:dyDescent="0.45">
      <c r="A23" s="3" t="s">
        <v>726</v>
      </c>
      <c r="B23" s="19">
        <f>COUNTIF(Country_Centres!$K$2:$K$42,"Yes*")</f>
        <v>25</v>
      </c>
      <c r="C23" s="3"/>
      <c r="D23" s="3"/>
      <c r="E23" s="3"/>
      <c r="F23" s="3"/>
      <c r="G23" s="3" t="s">
        <v>727</v>
      </c>
    </row>
    <row r="24" spans="1:7" ht="30" customHeight="1" x14ac:dyDescent="0.45">
      <c r="A24" s="3" t="s">
        <v>728</v>
      </c>
      <c r="B24" s="19">
        <f>COUNTIF(Country_Centres!$L$2:$L$42,"Yes*")</f>
        <v>8</v>
      </c>
      <c r="C24" s="3"/>
      <c r="D24" s="3"/>
      <c r="E24" s="3"/>
      <c r="F24" s="3"/>
      <c r="G24" s="3" t="s">
        <v>729</v>
      </c>
    </row>
    <row r="26" spans="1:7" ht="24" customHeight="1" x14ac:dyDescent="0.45">
      <c r="A26" s="8" t="s">
        <v>730</v>
      </c>
      <c r="B26" s="9"/>
      <c r="C26" s="9"/>
      <c r="D26" s="9"/>
      <c r="E26" s="9"/>
      <c r="F26" s="9"/>
      <c r="G26" s="9"/>
    </row>
    <row r="27" spans="1:7" ht="48" customHeight="1" x14ac:dyDescent="0.45">
      <c r="A27" s="10" t="s">
        <v>78</v>
      </c>
      <c r="B27" s="10" t="s">
        <v>693</v>
      </c>
      <c r="C27" s="10" t="s">
        <v>694</v>
      </c>
      <c r="D27" s="10" t="s">
        <v>695</v>
      </c>
      <c r="E27" s="10" t="s">
        <v>697</v>
      </c>
      <c r="F27" s="10"/>
      <c r="G27" s="10" t="s">
        <v>90</v>
      </c>
    </row>
    <row r="28" spans="1:7" ht="30" customHeight="1" x14ac:dyDescent="0.45">
      <c r="A28" s="3" t="s">
        <v>91</v>
      </c>
      <c r="B28" s="12">
        <f>COUNTIFS(KOL_Roster!$A$2:$A$76,$A28,KOL_Roster!$J$2:$J$76,1)</f>
        <v>0</v>
      </c>
      <c r="C28" s="12">
        <f>COUNTIFS(KOL_Roster!$A$2:$A$76,$A28,KOL_Roster!$J$2:$J$76,2)</f>
        <v>0</v>
      </c>
      <c r="D28" s="12">
        <f>COUNTIFS(KOL_Roster!$A$2:$A$76,$A28,KOL_Roster!$J$2:$J$76,3)</f>
        <v>15</v>
      </c>
      <c r="E28" s="12">
        <f>SUM(B28:D28)</f>
        <v>15</v>
      </c>
      <c r="F28" s="12"/>
      <c r="G28" s="3" t="s">
        <v>731</v>
      </c>
    </row>
    <row r="29" spans="1:7" ht="30" customHeight="1" x14ac:dyDescent="0.45">
      <c r="A29" s="3" t="s">
        <v>150</v>
      </c>
      <c r="B29" s="12">
        <f>COUNTIFS(KOL_Roster!$A$2:$A$76,$A29,KOL_Roster!$J$2:$J$76,1)</f>
        <v>0</v>
      </c>
      <c r="C29" s="12">
        <f>COUNTIFS(KOL_Roster!$A$2:$A$76,$A29,KOL_Roster!$J$2:$J$76,2)</f>
        <v>4</v>
      </c>
      <c r="D29" s="12">
        <f>COUNTIFS(KOL_Roster!$A$2:$A$76,$A29,KOL_Roster!$J$2:$J$76,3)</f>
        <v>5</v>
      </c>
      <c r="E29" s="12">
        <f>SUM(B29:D29)</f>
        <v>9</v>
      </c>
      <c r="F29" s="12"/>
      <c r="G29" s="2" t="s">
        <v>732</v>
      </c>
    </row>
    <row r="30" spans="1:7" ht="30" customHeight="1" x14ac:dyDescent="0.45">
      <c r="A30" s="3" t="s">
        <v>200</v>
      </c>
      <c r="B30" s="12">
        <f>COUNTIFS(KOL_Roster!$A$2:$A$76,$A30,KOL_Roster!$J$2:$J$76,1)</f>
        <v>0</v>
      </c>
      <c r="C30" s="12">
        <f>COUNTIFS(KOL_Roster!$A$2:$A$76,$A30,KOL_Roster!$J$2:$J$76,2)</f>
        <v>1</v>
      </c>
      <c r="D30" s="12">
        <f>COUNTIFS(KOL_Roster!$A$2:$A$76,$A30,KOL_Roster!$J$2:$J$76,3)</f>
        <v>21</v>
      </c>
      <c r="E30" s="12">
        <f>SUM(B30:D30)</f>
        <v>22</v>
      </c>
      <c r="F30" s="12"/>
      <c r="G30" s="3" t="s">
        <v>733</v>
      </c>
    </row>
    <row r="31" spans="1:7" ht="30" customHeight="1" x14ac:dyDescent="0.45">
      <c r="A31" s="3" t="s">
        <v>284</v>
      </c>
      <c r="B31" s="12">
        <f>COUNTIFS(KOL_Roster!$A$2:$A$76,$A31,KOL_Roster!$J$2:$J$76,1)</f>
        <v>0</v>
      </c>
      <c r="C31" s="12">
        <f>COUNTIFS(KOL_Roster!$A$2:$A$76,$A31,KOL_Roster!$J$2:$J$76,2)</f>
        <v>4</v>
      </c>
      <c r="D31" s="12">
        <f>COUNTIFS(KOL_Roster!$A$2:$A$76,$A31,KOL_Roster!$J$2:$J$76,3)</f>
        <v>11</v>
      </c>
      <c r="E31" s="12">
        <f>SUM(B31:D31)</f>
        <v>15</v>
      </c>
      <c r="F31" s="12"/>
      <c r="G31" s="3" t="s">
        <v>734</v>
      </c>
    </row>
    <row r="32" spans="1:7" ht="30" customHeight="1" x14ac:dyDescent="0.45">
      <c r="A32" s="3" t="s">
        <v>328</v>
      </c>
      <c r="B32" s="12">
        <f>COUNTIFS(KOL_Roster!$A$2:$A$76,$A32,KOL_Roster!$J$2:$J$76,1)</f>
        <v>0</v>
      </c>
      <c r="C32" s="12">
        <f>COUNTIFS(KOL_Roster!$A$2:$A$76,$A32,KOL_Roster!$J$2:$J$76,2)</f>
        <v>4</v>
      </c>
      <c r="D32" s="12">
        <f>COUNTIFS(KOL_Roster!$A$2:$A$76,$A32,KOL_Roster!$J$2:$J$76,3)</f>
        <v>10</v>
      </c>
      <c r="E32" s="12">
        <f>SUM(B32:D32)</f>
        <v>14</v>
      </c>
      <c r="F32" s="12"/>
      <c r="G32" s="2" t="s">
        <v>735</v>
      </c>
    </row>
    <row r="33" spans="1:7" ht="30" customHeight="1" x14ac:dyDescent="0.45">
      <c r="A33" s="16" t="s">
        <v>703</v>
      </c>
      <c r="B33" s="17">
        <f>SUBTOTAL(9,B28:B32)</f>
        <v>0</v>
      </c>
      <c r="C33" s="17">
        <f>SUBTOTAL(9,C28:C32)</f>
        <v>13</v>
      </c>
      <c r="D33" s="17">
        <f>SUBTOTAL(9,D28:D32)</f>
        <v>62</v>
      </c>
      <c r="E33" s="17">
        <f>SUBTOTAL(9,E28:E32)</f>
        <v>75</v>
      </c>
      <c r="F33" s="17"/>
      <c r="G33" s="16" t="s">
        <v>736</v>
      </c>
    </row>
    <row r="35" spans="1:7" ht="24" customHeight="1" x14ac:dyDescent="0.45">
      <c r="A35" s="8" t="s">
        <v>737</v>
      </c>
      <c r="B35" s="9"/>
      <c r="C35" s="9"/>
      <c r="D35" s="9"/>
      <c r="E35" s="9"/>
      <c r="F35" s="9"/>
      <c r="G35" s="9"/>
    </row>
    <row r="36" spans="1:7" ht="48" customHeight="1" x14ac:dyDescent="0.45">
      <c r="A36" s="10" t="s">
        <v>707</v>
      </c>
      <c r="B36" s="10" t="s">
        <v>708</v>
      </c>
      <c r="C36" s="10"/>
      <c r="D36" s="10"/>
      <c r="E36" s="10"/>
      <c r="F36" s="10"/>
      <c r="G36" s="10" t="s">
        <v>709</v>
      </c>
    </row>
    <row r="37" spans="1:7" ht="30" customHeight="1" x14ac:dyDescent="0.45">
      <c r="A37" s="3" t="s">
        <v>738</v>
      </c>
      <c r="B37" s="19">
        <f>COUNTIF(KOL_Roster!$E$2:$E$76,"Yes*")</f>
        <v>1</v>
      </c>
      <c r="C37" s="3"/>
      <c r="D37" s="3"/>
      <c r="E37" s="3"/>
      <c r="F37" s="3"/>
      <c r="G37" s="3" t="s">
        <v>739</v>
      </c>
    </row>
    <row r="38" spans="1:7" ht="30" customHeight="1" x14ac:dyDescent="0.45">
      <c r="A38" s="3" t="s">
        <v>740</v>
      </c>
      <c r="B38" s="19">
        <f>COUNTIF(KOL_Roster!$E$2:$E$76,"Qualified*")</f>
        <v>1</v>
      </c>
      <c r="C38" s="3"/>
      <c r="D38" s="3"/>
      <c r="E38" s="3"/>
      <c r="F38" s="3"/>
      <c r="G38" s="3" t="s">
        <v>741</v>
      </c>
    </row>
    <row r="39" spans="1:7" ht="30" customHeight="1" x14ac:dyDescent="0.45">
      <c r="A39" s="3" t="s">
        <v>742</v>
      </c>
      <c r="B39" s="19">
        <f>COUNTIF(KOL_Roster!$G$2:$G$76,"*Trial*")</f>
        <v>11</v>
      </c>
      <c r="C39" s="3"/>
      <c r="D39" s="3"/>
      <c r="E39" s="3"/>
      <c r="F39" s="3"/>
      <c r="G39" s="3" t="s">
        <v>743</v>
      </c>
    </row>
    <row r="40" spans="1:7" ht="16.5" customHeight="1" x14ac:dyDescent="0.45">
      <c r="A40" s="3" t="s">
        <v>744</v>
      </c>
      <c r="B40" s="19">
        <f>COUNTIF(KOL_Roster!$G$2:$G$76,"*Trial (ION582)*")</f>
        <v>8</v>
      </c>
      <c r="C40" s="3"/>
      <c r="D40" s="3"/>
      <c r="E40" s="3"/>
      <c r="F40" s="3"/>
      <c r="G40" s="3"/>
    </row>
    <row r="41" spans="1:7" ht="16.5" customHeight="1" x14ac:dyDescent="0.45">
      <c r="A41" s="3" t="s">
        <v>745</v>
      </c>
      <c r="B41" s="19">
        <f>COUNTIF(KOL_Roster!$G$2:$G$76,"*Trial (competitor)*")</f>
        <v>5</v>
      </c>
      <c r="C41" s="3"/>
      <c r="D41" s="3"/>
      <c r="E41" s="3"/>
      <c r="F41" s="3"/>
      <c r="G41" s="3"/>
    </row>
    <row r="42" spans="1:7" ht="30" customHeight="1" x14ac:dyDescent="0.45">
      <c r="A42" s="3" t="s">
        <v>746</v>
      </c>
      <c r="B42" s="19">
        <f>COUNTIF(KOL_Roster!$G$2:$G$76,"*Disease:*")</f>
        <v>51</v>
      </c>
      <c r="C42" s="3"/>
      <c r="D42" s="3"/>
      <c r="E42" s="3"/>
      <c r="F42" s="3"/>
      <c r="G42" s="3" t="s">
        <v>747</v>
      </c>
    </row>
    <row r="43" spans="1:7" ht="30" customHeight="1" x14ac:dyDescent="0.45">
      <c r="A43" s="3" t="s">
        <v>748</v>
      </c>
      <c r="B43" s="19">
        <f>COUNTIF(KOL_Roster!$H$2:$H$76,"Verified*")</f>
        <v>0</v>
      </c>
      <c r="C43" s="3"/>
      <c r="D43" s="3"/>
      <c r="E43" s="3"/>
      <c r="F43" s="3"/>
      <c r="G43" s="3" t="s">
        <v>749</v>
      </c>
    </row>
    <row r="44" spans="1:7" ht="30" customHeight="1" x14ac:dyDescent="0.45">
      <c r="A44" s="3" t="s">
        <v>750</v>
      </c>
      <c r="B44" s="19">
        <f>COUNTIF(KOL_Roster!$F$2:$F$76,"Coordinator*")</f>
        <v>12</v>
      </c>
      <c r="C44" s="3"/>
      <c r="D44" s="3"/>
      <c r="E44" s="3"/>
      <c r="F44" s="3"/>
      <c r="G44" s="3" t="s">
        <v>751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22" customWidth="1"/>
    <col min="2" max="2" width="36" customWidth="1"/>
    <col min="3" max="4" width="52" customWidth="1"/>
    <col min="5" max="5" width="66" customWidth="1"/>
  </cols>
  <sheetData>
    <row r="1" spans="1:5" ht="48" customHeight="1" x14ac:dyDescent="0.45">
      <c r="A1" s="10" t="s">
        <v>752</v>
      </c>
      <c r="B1" s="10" t="s">
        <v>753</v>
      </c>
      <c r="C1" s="10" t="s">
        <v>754</v>
      </c>
      <c r="D1" s="10" t="s">
        <v>755</v>
      </c>
      <c r="E1" s="10" t="s">
        <v>756</v>
      </c>
    </row>
    <row r="2" spans="1:5" ht="56.25" customHeight="1" x14ac:dyDescent="0.45">
      <c r="A2" s="16" t="s">
        <v>757</v>
      </c>
      <c r="B2" s="3" t="s">
        <v>758</v>
      </c>
      <c r="C2" s="3" t="s">
        <v>759</v>
      </c>
      <c r="D2" s="3" t="s">
        <v>760</v>
      </c>
      <c r="E2" s="3" t="s">
        <v>761</v>
      </c>
    </row>
    <row r="3" spans="1:5" ht="43.5" customHeight="1" x14ac:dyDescent="0.45">
      <c r="A3" s="16" t="s">
        <v>757</v>
      </c>
      <c r="B3" s="3" t="s">
        <v>762</v>
      </c>
      <c r="C3" s="3" t="s">
        <v>763</v>
      </c>
      <c r="D3" s="3" t="s">
        <v>764</v>
      </c>
      <c r="E3" s="3" t="s">
        <v>765</v>
      </c>
    </row>
    <row r="4" spans="1:5" ht="43.5" customHeight="1" x14ac:dyDescent="0.45">
      <c r="A4" s="16" t="s">
        <v>766</v>
      </c>
      <c r="B4" s="3" t="s">
        <v>767</v>
      </c>
      <c r="C4" s="3" t="s">
        <v>768</v>
      </c>
      <c r="D4" s="3" t="s">
        <v>769</v>
      </c>
      <c r="E4" s="3" t="s">
        <v>770</v>
      </c>
    </row>
    <row r="5" spans="1:5" ht="30" customHeight="1" x14ac:dyDescent="0.45">
      <c r="A5" s="16" t="s">
        <v>766</v>
      </c>
      <c r="B5" s="3" t="s">
        <v>771</v>
      </c>
      <c r="C5" s="3" t="s">
        <v>772</v>
      </c>
      <c r="D5" s="3" t="s">
        <v>773</v>
      </c>
      <c r="E5" s="3" t="s">
        <v>774</v>
      </c>
    </row>
    <row r="6" spans="1:5" ht="69.75" customHeight="1" x14ac:dyDescent="0.45">
      <c r="A6" s="16" t="s">
        <v>775</v>
      </c>
      <c r="B6" s="3" t="s">
        <v>776</v>
      </c>
      <c r="C6" s="3" t="s">
        <v>777</v>
      </c>
      <c r="D6" s="3" t="s">
        <v>778</v>
      </c>
      <c r="E6" s="3" t="s">
        <v>779</v>
      </c>
    </row>
    <row r="7" spans="1:5" ht="96" customHeight="1" x14ac:dyDescent="0.45">
      <c r="A7" s="16" t="s">
        <v>775</v>
      </c>
      <c r="B7" s="3" t="s">
        <v>780</v>
      </c>
      <c r="C7" s="3" t="s">
        <v>781</v>
      </c>
      <c r="D7" s="3" t="s">
        <v>782</v>
      </c>
      <c r="E7" s="3" t="s">
        <v>783</v>
      </c>
    </row>
    <row r="8" spans="1:5" ht="96" customHeight="1" x14ac:dyDescent="0.45">
      <c r="A8" s="16" t="s">
        <v>775</v>
      </c>
      <c r="B8" s="3" t="s">
        <v>784</v>
      </c>
      <c r="C8" s="3" t="s">
        <v>785</v>
      </c>
      <c r="D8" s="3" t="s">
        <v>786</v>
      </c>
      <c r="E8" s="3" t="s">
        <v>787</v>
      </c>
    </row>
    <row r="9" spans="1:5" ht="30" customHeight="1" x14ac:dyDescent="0.45">
      <c r="A9" s="16" t="s">
        <v>788</v>
      </c>
      <c r="B9" s="3" t="s">
        <v>789</v>
      </c>
      <c r="C9" s="3" t="s">
        <v>790</v>
      </c>
      <c r="D9" s="3" t="s">
        <v>791</v>
      </c>
      <c r="E9" s="3" t="s">
        <v>792</v>
      </c>
    </row>
    <row r="10" spans="1:5" ht="30" customHeight="1" x14ac:dyDescent="0.45">
      <c r="A10" s="16" t="s">
        <v>788</v>
      </c>
      <c r="B10" s="3" t="s">
        <v>793</v>
      </c>
      <c r="C10" s="3" t="s">
        <v>794</v>
      </c>
      <c r="D10" s="3" t="s">
        <v>795</v>
      </c>
      <c r="E10" s="3" t="s">
        <v>796</v>
      </c>
    </row>
    <row r="11" spans="1:5" ht="96" customHeight="1" x14ac:dyDescent="0.45">
      <c r="A11" s="16" t="s">
        <v>797</v>
      </c>
      <c r="B11" s="3" t="s">
        <v>798</v>
      </c>
      <c r="C11" s="3" t="s">
        <v>799</v>
      </c>
      <c r="D11" s="3" t="s">
        <v>800</v>
      </c>
      <c r="E11" s="3" t="s">
        <v>801</v>
      </c>
    </row>
    <row r="12" spans="1:5" ht="56.25" customHeight="1" x14ac:dyDescent="0.45">
      <c r="A12" s="16" t="s">
        <v>797</v>
      </c>
      <c r="B12" s="3" t="s">
        <v>802</v>
      </c>
      <c r="C12" s="3" t="s">
        <v>803</v>
      </c>
      <c r="D12" s="3" t="s">
        <v>804</v>
      </c>
      <c r="E12" s="3" t="s">
        <v>805</v>
      </c>
    </row>
    <row r="13" spans="1:5" ht="30" customHeight="1" x14ac:dyDescent="0.45">
      <c r="A13" s="16" t="s">
        <v>797</v>
      </c>
      <c r="B13" s="3" t="s">
        <v>806</v>
      </c>
      <c r="C13" s="3" t="s">
        <v>807</v>
      </c>
      <c r="D13" s="3" t="s">
        <v>808</v>
      </c>
      <c r="E13" s="3" t="s">
        <v>809</v>
      </c>
    </row>
  </sheetData>
  <autoFilter ref="A1:E13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2"/>
  <sheetViews>
    <sheetView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58" customWidth="1"/>
    <col min="2" max="2" width="78" customWidth="1"/>
    <col min="3" max="3" width="70" customWidth="1"/>
  </cols>
  <sheetData>
    <row r="1" spans="1:3" ht="48" customHeight="1" x14ac:dyDescent="0.45">
      <c r="A1" s="10" t="s">
        <v>810</v>
      </c>
      <c r="B1" s="10" t="s">
        <v>811</v>
      </c>
      <c r="C1" s="10" t="s">
        <v>812</v>
      </c>
    </row>
    <row r="2" spans="1:3" ht="30" customHeight="1" x14ac:dyDescent="0.45">
      <c r="A2" s="3" t="s">
        <v>813</v>
      </c>
      <c r="B2" s="20" t="s">
        <v>814</v>
      </c>
      <c r="C2" s="3" t="s">
        <v>815</v>
      </c>
    </row>
    <row r="3" spans="1:3" ht="30" customHeight="1" x14ac:dyDescent="0.45">
      <c r="A3" s="3" t="s">
        <v>816</v>
      </c>
      <c r="B3" s="20" t="s">
        <v>817</v>
      </c>
      <c r="C3" s="3" t="s">
        <v>818</v>
      </c>
    </row>
    <row r="4" spans="1:3" ht="30" customHeight="1" x14ac:dyDescent="0.45">
      <c r="A4" s="3" t="s">
        <v>819</v>
      </c>
      <c r="B4" s="20" t="s">
        <v>820</v>
      </c>
      <c r="C4" s="3" t="s">
        <v>821</v>
      </c>
    </row>
    <row r="5" spans="1:3" ht="16.5" customHeight="1" x14ac:dyDescent="0.45">
      <c r="A5" s="3" t="s">
        <v>822</v>
      </c>
      <c r="B5" s="20" t="s">
        <v>823</v>
      </c>
      <c r="C5" s="3" t="s">
        <v>824</v>
      </c>
    </row>
    <row r="6" spans="1:3" ht="30" customHeight="1" x14ac:dyDescent="0.45">
      <c r="A6" s="3" t="s">
        <v>825</v>
      </c>
      <c r="B6" s="20" t="s">
        <v>826</v>
      </c>
      <c r="C6" s="3" t="s">
        <v>827</v>
      </c>
    </row>
    <row r="7" spans="1:3" ht="30" customHeight="1" x14ac:dyDescent="0.45">
      <c r="A7" s="3" t="s">
        <v>828</v>
      </c>
      <c r="B7" s="20" t="s">
        <v>829</v>
      </c>
      <c r="C7" s="3" t="s">
        <v>830</v>
      </c>
    </row>
    <row r="8" spans="1:3" ht="30" customHeight="1" x14ac:dyDescent="0.45">
      <c r="A8" s="3" t="s">
        <v>831</v>
      </c>
      <c r="B8" s="20" t="s">
        <v>832</v>
      </c>
      <c r="C8" s="3" t="s">
        <v>833</v>
      </c>
    </row>
    <row r="9" spans="1:3" ht="30" customHeight="1" x14ac:dyDescent="0.45">
      <c r="A9" s="3" t="s">
        <v>834</v>
      </c>
      <c r="B9" s="20" t="s">
        <v>835</v>
      </c>
      <c r="C9" s="3" t="s">
        <v>836</v>
      </c>
    </row>
    <row r="10" spans="1:3" ht="16.5" customHeight="1" x14ac:dyDescent="0.45">
      <c r="A10" s="3" t="s">
        <v>837</v>
      </c>
      <c r="B10" s="20" t="s">
        <v>838</v>
      </c>
      <c r="C10" s="3" t="s">
        <v>839</v>
      </c>
    </row>
    <row r="11" spans="1:3" ht="30" customHeight="1" x14ac:dyDescent="0.45">
      <c r="A11" s="3" t="s">
        <v>840</v>
      </c>
      <c r="B11" s="20" t="s">
        <v>841</v>
      </c>
      <c r="C11" s="3" t="s">
        <v>842</v>
      </c>
    </row>
    <row r="12" spans="1:3" ht="30" customHeight="1" x14ac:dyDescent="0.45">
      <c r="A12" s="3" t="s">
        <v>843</v>
      </c>
      <c r="B12" s="20" t="s">
        <v>844</v>
      </c>
      <c r="C12" s="3" t="s">
        <v>845</v>
      </c>
    </row>
    <row r="13" spans="1:3" ht="30" customHeight="1" x14ac:dyDescent="0.45">
      <c r="A13" s="3" t="s">
        <v>846</v>
      </c>
      <c r="B13" s="20" t="s">
        <v>847</v>
      </c>
      <c r="C13" s="3" t="s">
        <v>848</v>
      </c>
    </row>
    <row r="14" spans="1:3" ht="30" customHeight="1" x14ac:dyDescent="0.45">
      <c r="A14" s="3" t="s">
        <v>849</v>
      </c>
      <c r="B14" s="20" t="s">
        <v>850</v>
      </c>
      <c r="C14" s="3" t="s">
        <v>851</v>
      </c>
    </row>
    <row r="15" spans="1:3" ht="30" customHeight="1" x14ac:dyDescent="0.45">
      <c r="A15" s="3" t="s">
        <v>852</v>
      </c>
      <c r="B15" s="20" t="s">
        <v>853</v>
      </c>
      <c r="C15" s="3" t="s">
        <v>854</v>
      </c>
    </row>
    <row r="16" spans="1:3" ht="30" customHeight="1" x14ac:dyDescent="0.45">
      <c r="A16" s="3" t="s">
        <v>855</v>
      </c>
      <c r="B16" s="20" t="s">
        <v>856</v>
      </c>
      <c r="C16" s="3" t="s">
        <v>857</v>
      </c>
    </row>
    <row r="17" spans="1:3" ht="30" customHeight="1" x14ac:dyDescent="0.45">
      <c r="A17" s="3" t="s">
        <v>858</v>
      </c>
      <c r="B17" s="20" t="s">
        <v>859</v>
      </c>
      <c r="C17" s="3" t="s">
        <v>860</v>
      </c>
    </row>
    <row r="18" spans="1:3" ht="30" customHeight="1" x14ac:dyDescent="0.45">
      <c r="A18" s="3" t="s">
        <v>861</v>
      </c>
      <c r="B18" s="20" t="s">
        <v>862</v>
      </c>
      <c r="C18" s="3" t="s">
        <v>863</v>
      </c>
    </row>
    <row r="19" spans="1:3" ht="30" customHeight="1" x14ac:dyDescent="0.45">
      <c r="A19" s="3" t="s">
        <v>864</v>
      </c>
      <c r="B19" s="20" t="s">
        <v>865</v>
      </c>
      <c r="C19" s="3" t="s">
        <v>866</v>
      </c>
    </row>
    <row r="20" spans="1:3" ht="30" customHeight="1" x14ac:dyDescent="0.45">
      <c r="A20" s="3" t="s">
        <v>867</v>
      </c>
      <c r="B20" s="20" t="s">
        <v>868</v>
      </c>
      <c r="C20" s="3" t="s">
        <v>869</v>
      </c>
    </row>
    <row r="21" spans="1:3" ht="30" customHeight="1" x14ac:dyDescent="0.45">
      <c r="A21" s="3" t="s">
        <v>870</v>
      </c>
      <c r="B21" s="20" t="s">
        <v>871</v>
      </c>
      <c r="C21" s="3" t="s">
        <v>872</v>
      </c>
    </row>
    <row r="22" spans="1:3" ht="30" customHeight="1" x14ac:dyDescent="0.45">
      <c r="A22" s="3" t="s">
        <v>873</v>
      </c>
      <c r="B22" s="20" t="s">
        <v>874</v>
      </c>
      <c r="C22" s="3" t="s">
        <v>875</v>
      </c>
    </row>
    <row r="23" spans="1:3" ht="16.5" customHeight="1" x14ac:dyDescent="0.45">
      <c r="A23" s="3" t="s">
        <v>876</v>
      </c>
      <c r="B23" s="20" t="s">
        <v>877</v>
      </c>
      <c r="C23" s="3" t="s">
        <v>878</v>
      </c>
    </row>
    <row r="24" spans="1:3" ht="30" customHeight="1" x14ac:dyDescent="0.45">
      <c r="A24" s="2" t="s">
        <v>879</v>
      </c>
      <c r="B24" s="20" t="s">
        <v>880</v>
      </c>
      <c r="C24" s="3" t="s">
        <v>881</v>
      </c>
    </row>
    <row r="25" spans="1:3" ht="16.5" customHeight="1" x14ac:dyDescent="0.45">
      <c r="A25" s="3" t="s">
        <v>882</v>
      </c>
      <c r="B25" s="20" t="s">
        <v>883</v>
      </c>
      <c r="C25" s="3" t="s">
        <v>884</v>
      </c>
    </row>
    <row r="26" spans="1:3" ht="30" customHeight="1" x14ac:dyDescent="0.45">
      <c r="A26" s="3" t="s">
        <v>885</v>
      </c>
      <c r="B26" s="20" t="s">
        <v>886</v>
      </c>
      <c r="C26" s="3" t="s">
        <v>887</v>
      </c>
    </row>
    <row r="27" spans="1:3" ht="30" customHeight="1" x14ac:dyDescent="0.45">
      <c r="A27" s="3" t="s">
        <v>888</v>
      </c>
      <c r="B27" s="20" t="s">
        <v>889</v>
      </c>
      <c r="C27" s="3" t="s">
        <v>890</v>
      </c>
    </row>
    <row r="28" spans="1:3" ht="30" customHeight="1" x14ac:dyDescent="0.45">
      <c r="A28" s="3" t="s">
        <v>891</v>
      </c>
      <c r="B28" s="20" t="s">
        <v>892</v>
      </c>
      <c r="C28" s="3" t="s">
        <v>893</v>
      </c>
    </row>
    <row r="29" spans="1:3" ht="16.5" customHeight="1" x14ac:dyDescent="0.45">
      <c r="A29" s="3" t="s">
        <v>894</v>
      </c>
      <c r="B29" s="20" t="s">
        <v>895</v>
      </c>
      <c r="C29" s="3" t="s">
        <v>896</v>
      </c>
    </row>
    <row r="30" spans="1:3" ht="30" customHeight="1" x14ac:dyDescent="0.45">
      <c r="A30" s="3" t="s">
        <v>897</v>
      </c>
      <c r="B30" s="20" t="s">
        <v>898</v>
      </c>
      <c r="C30" s="3" t="s">
        <v>899</v>
      </c>
    </row>
    <row r="31" spans="1:3" ht="30" customHeight="1" x14ac:dyDescent="0.45">
      <c r="A31" s="3" t="s">
        <v>900</v>
      </c>
      <c r="B31" s="20" t="s">
        <v>901</v>
      </c>
      <c r="C31" s="3" t="s">
        <v>902</v>
      </c>
    </row>
    <row r="32" spans="1:3" ht="16.5" customHeight="1" x14ac:dyDescent="0.45">
      <c r="A32" s="3" t="s">
        <v>903</v>
      </c>
      <c r="B32" s="20" t="s">
        <v>904</v>
      </c>
      <c r="C32" s="3" t="s">
        <v>905</v>
      </c>
    </row>
    <row r="33" spans="1:3" ht="16.5" customHeight="1" x14ac:dyDescent="0.45">
      <c r="A33" s="3" t="s">
        <v>906</v>
      </c>
      <c r="B33" s="20" t="s">
        <v>907</v>
      </c>
      <c r="C33" s="3" t="s">
        <v>908</v>
      </c>
    </row>
    <row r="34" spans="1:3" ht="30" customHeight="1" x14ac:dyDescent="0.45">
      <c r="A34" s="3" t="s">
        <v>909</v>
      </c>
      <c r="B34" s="20" t="s">
        <v>910</v>
      </c>
      <c r="C34" s="3" t="s">
        <v>911</v>
      </c>
    </row>
    <row r="35" spans="1:3" ht="30" customHeight="1" x14ac:dyDescent="0.45">
      <c r="A35" s="3" t="s">
        <v>912</v>
      </c>
      <c r="B35" s="20" t="s">
        <v>913</v>
      </c>
      <c r="C35" s="3" t="s">
        <v>914</v>
      </c>
    </row>
    <row r="36" spans="1:3" ht="30" customHeight="1" x14ac:dyDescent="0.45">
      <c r="A36" s="3" t="s">
        <v>915</v>
      </c>
      <c r="B36" s="20" t="s">
        <v>916</v>
      </c>
      <c r="C36" s="3" t="s">
        <v>917</v>
      </c>
    </row>
    <row r="37" spans="1:3" ht="43.5" customHeight="1" x14ac:dyDescent="0.45">
      <c r="A37" s="3" t="s">
        <v>918</v>
      </c>
      <c r="B37" s="20" t="s">
        <v>919</v>
      </c>
      <c r="C37" s="3" t="s">
        <v>920</v>
      </c>
    </row>
    <row r="38" spans="1:3" ht="30" customHeight="1" x14ac:dyDescent="0.45">
      <c r="A38" s="3" t="s">
        <v>921</v>
      </c>
      <c r="B38" s="20" t="s">
        <v>922</v>
      </c>
      <c r="C38" s="3" t="s">
        <v>923</v>
      </c>
    </row>
    <row r="39" spans="1:3" ht="30" customHeight="1" x14ac:dyDescent="0.45">
      <c r="A39" s="3" t="s">
        <v>924</v>
      </c>
      <c r="B39" s="20" t="s">
        <v>925</v>
      </c>
      <c r="C39" s="3" t="s">
        <v>926</v>
      </c>
    </row>
    <row r="40" spans="1:3" ht="30" customHeight="1" x14ac:dyDescent="0.45">
      <c r="A40" s="3" t="s">
        <v>927</v>
      </c>
      <c r="B40" s="20" t="s">
        <v>928</v>
      </c>
      <c r="C40" s="3" t="s">
        <v>929</v>
      </c>
    </row>
    <row r="41" spans="1:3" ht="16.5" customHeight="1" x14ac:dyDescent="0.45">
      <c r="A41" s="3" t="s">
        <v>930</v>
      </c>
      <c r="B41" s="20" t="s">
        <v>931</v>
      </c>
      <c r="C41" s="3" t="s">
        <v>932</v>
      </c>
    </row>
    <row r="42" spans="1:3" ht="16.5" customHeight="1" x14ac:dyDescent="0.45">
      <c r="A42" s="3" t="s">
        <v>933</v>
      </c>
      <c r="B42" s="20" t="s">
        <v>934</v>
      </c>
      <c r="C42" s="3" t="s">
        <v>935</v>
      </c>
    </row>
    <row r="43" spans="1:3" ht="30" customHeight="1" x14ac:dyDescent="0.45">
      <c r="A43" s="3" t="s">
        <v>936</v>
      </c>
      <c r="B43" s="20" t="s">
        <v>937</v>
      </c>
      <c r="C43" s="3" t="s">
        <v>938</v>
      </c>
    </row>
    <row r="44" spans="1:3" ht="16.5" customHeight="1" x14ac:dyDescent="0.45">
      <c r="A44" s="3" t="s">
        <v>939</v>
      </c>
      <c r="B44" s="20" t="s">
        <v>940</v>
      </c>
      <c r="C44" s="3" t="s">
        <v>941</v>
      </c>
    </row>
    <row r="45" spans="1:3" ht="30" customHeight="1" x14ac:dyDescent="0.45">
      <c r="A45" s="3" t="s">
        <v>942</v>
      </c>
      <c r="B45" s="20" t="s">
        <v>943</v>
      </c>
      <c r="C45" s="3" t="s">
        <v>944</v>
      </c>
    </row>
    <row r="46" spans="1:3" ht="16.5" customHeight="1" x14ac:dyDescent="0.45">
      <c r="A46" s="3" t="s">
        <v>945</v>
      </c>
      <c r="B46" s="20" t="s">
        <v>946</v>
      </c>
      <c r="C46" s="3" t="s">
        <v>947</v>
      </c>
    </row>
    <row r="47" spans="1:3" ht="16.5" customHeight="1" x14ac:dyDescent="0.45">
      <c r="A47" s="3" t="s">
        <v>948</v>
      </c>
      <c r="B47" s="20" t="s">
        <v>949</v>
      </c>
      <c r="C47" s="3" t="s">
        <v>950</v>
      </c>
    </row>
    <row r="48" spans="1:3" ht="16.5" customHeight="1" x14ac:dyDescent="0.45">
      <c r="A48" s="3" t="s">
        <v>951</v>
      </c>
      <c r="B48" s="20" t="s">
        <v>952</v>
      </c>
      <c r="C48" s="3" t="s">
        <v>953</v>
      </c>
    </row>
    <row r="49" spans="1:3" ht="30" customHeight="1" x14ac:dyDescent="0.45">
      <c r="A49" s="3" t="s">
        <v>954</v>
      </c>
      <c r="B49" s="20" t="s">
        <v>955</v>
      </c>
      <c r="C49" s="3" t="s">
        <v>956</v>
      </c>
    </row>
    <row r="50" spans="1:3" ht="30" customHeight="1" x14ac:dyDescent="0.45">
      <c r="A50" s="3" t="s">
        <v>957</v>
      </c>
      <c r="B50" s="20" t="s">
        <v>958</v>
      </c>
      <c r="C50" s="3" t="s">
        <v>959</v>
      </c>
    </row>
    <row r="51" spans="1:3" ht="30" customHeight="1" x14ac:dyDescent="0.45">
      <c r="A51" s="3" t="s">
        <v>960</v>
      </c>
      <c r="B51" s="20" t="s">
        <v>961</v>
      </c>
      <c r="C51" s="3" t="s">
        <v>962</v>
      </c>
    </row>
    <row r="52" spans="1:3" ht="30" customHeight="1" x14ac:dyDescent="0.45">
      <c r="A52" s="3" t="s">
        <v>963</v>
      </c>
      <c r="B52" s="20" t="s">
        <v>964</v>
      </c>
      <c r="C52" s="3" t="s">
        <v>965</v>
      </c>
    </row>
    <row r="53" spans="1:3" ht="16.5" customHeight="1" x14ac:dyDescent="0.45">
      <c r="A53" s="3" t="s">
        <v>966</v>
      </c>
      <c r="B53" s="20" t="s">
        <v>967</v>
      </c>
      <c r="C53" s="3" t="s">
        <v>968</v>
      </c>
    </row>
    <row r="54" spans="1:3" ht="16.5" customHeight="1" x14ac:dyDescent="0.45">
      <c r="A54" s="3" t="s">
        <v>969</v>
      </c>
      <c r="B54" s="20" t="s">
        <v>970</v>
      </c>
      <c r="C54" s="3" t="s">
        <v>971</v>
      </c>
    </row>
    <row r="55" spans="1:3" ht="30" customHeight="1" x14ac:dyDescent="0.45">
      <c r="A55" s="3" t="s">
        <v>972</v>
      </c>
      <c r="B55" s="20" t="s">
        <v>973</v>
      </c>
      <c r="C55" s="3" t="s">
        <v>974</v>
      </c>
    </row>
    <row r="56" spans="1:3" ht="16.5" customHeight="1" x14ac:dyDescent="0.45">
      <c r="A56" s="3" t="s">
        <v>975</v>
      </c>
      <c r="B56" s="20" t="s">
        <v>976</v>
      </c>
      <c r="C56" s="3" t="s">
        <v>977</v>
      </c>
    </row>
    <row r="57" spans="1:3" ht="30" customHeight="1" x14ac:dyDescent="0.45">
      <c r="A57" s="3" t="s">
        <v>978</v>
      </c>
      <c r="B57" s="20" t="s">
        <v>979</v>
      </c>
      <c r="C57" s="3" t="s">
        <v>980</v>
      </c>
    </row>
    <row r="58" spans="1:3" ht="16.5" customHeight="1" x14ac:dyDescent="0.45">
      <c r="A58" s="3" t="s">
        <v>981</v>
      </c>
      <c r="B58" s="20" t="s">
        <v>982</v>
      </c>
      <c r="C58" s="3" t="s">
        <v>983</v>
      </c>
    </row>
    <row r="59" spans="1:3" ht="30" customHeight="1" x14ac:dyDescent="0.45">
      <c r="A59" s="3" t="s">
        <v>984</v>
      </c>
      <c r="B59" s="20" t="s">
        <v>985</v>
      </c>
      <c r="C59" s="3" t="s">
        <v>986</v>
      </c>
    </row>
    <row r="60" spans="1:3" ht="16.5" customHeight="1" x14ac:dyDescent="0.45">
      <c r="A60" s="3" t="s">
        <v>987</v>
      </c>
      <c r="B60" s="20" t="s">
        <v>988</v>
      </c>
      <c r="C60" s="3" t="s">
        <v>989</v>
      </c>
    </row>
    <row r="61" spans="1:3" ht="30" customHeight="1" x14ac:dyDescent="0.45">
      <c r="A61" s="3" t="s">
        <v>990</v>
      </c>
      <c r="B61" s="20" t="s">
        <v>991</v>
      </c>
      <c r="C61" s="3" t="s">
        <v>992</v>
      </c>
    </row>
    <row r="62" spans="1:3" ht="30" customHeight="1" x14ac:dyDescent="0.45">
      <c r="A62" s="3" t="s">
        <v>993</v>
      </c>
      <c r="B62" s="20" t="s">
        <v>994</v>
      </c>
      <c r="C62" s="3" t="s">
        <v>995</v>
      </c>
    </row>
    <row r="63" spans="1:3" ht="16.5" customHeight="1" x14ac:dyDescent="0.45">
      <c r="A63" s="3" t="s">
        <v>996</v>
      </c>
      <c r="B63" s="20" t="s">
        <v>997</v>
      </c>
      <c r="C63" s="3" t="s">
        <v>998</v>
      </c>
    </row>
    <row r="64" spans="1:3" ht="16.5" customHeight="1" x14ac:dyDescent="0.45">
      <c r="A64" s="3" t="s">
        <v>999</v>
      </c>
      <c r="B64" s="20" t="s">
        <v>1000</v>
      </c>
      <c r="C64" s="3" t="s">
        <v>1001</v>
      </c>
    </row>
    <row r="65" spans="1:3" ht="30" customHeight="1" x14ac:dyDescent="0.45">
      <c r="A65" s="3" t="s">
        <v>1002</v>
      </c>
      <c r="B65" s="20" t="s">
        <v>1003</v>
      </c>
      <c r="C65" s="3" t="s">
        <v>1004</v>
      </c>
    </row>
    <row r="66" spans="1:3" ht="16.5" customHeight="1" x14ac:dyDescent="0.45">
      <c r="A66" s="3" t="s">
        <v>1005</v>
      </c>
      <c r="B66" s="20" t="s">
        <v>1006</v>
      </c>
      <c r="C66" s="3" t="s">
        <v>1007</v>
      </c>
    </row>
    <row r="67" spans="1:3" ht="30" customHeight="1" x14ac:dyDescent="0.45">
      <c r="A67" s="3" t="s">
        <v>1008</v>
      </c>
      <c r="B67" s="20" t="s">
        <v>1009</v>
      </c>
      <c r="C67" s="3" t="s">
        <v>1010</v>
      </c>
    </row>
    <row r="68" spans="1:3" ht="43.5" customHeight="1" x14ac:dyDescent="0.45">
      <c r="A68" s="3" t="s">
        <v>1011</v>
      </c>
      <c r="B68" s="20" t="s">
        <v>1012</v>
      </c>
      <c r="C68" s="3" t="s">
        <v>1013</v>
      </c>
    </row>
    <row r="69" spans="1:3" ht="16.5" customHeight="1" x14ac:dyDescent="0.45">
      <c r="A69" s="3" t="s">
        <v>1014</v>
      </c>
      <c r="B69" s="20" t="s">
        <v>1015</v>
      </c>
      <c r="C69" s="3" t="s">
        <v>1016</v>
      </c>
    </row>
    <row r="71" spans="1:3" ht="24" customHeight="1" x14ac:dyDescent="0.45">
      <c r="A71" s="8" t="s">
        <v>1017</v>
      </c>
      <c r="B71" s="9"/>
      <c r="C71" s="9"/>
    </row>
    <row r="72" spans="1:3" ht="43.5" customHeight="1" x14ac:dyDescent="0.45">
      <c r="A72" s="16" t="s">
        <v>1018</v>
      </c>
      <c r="B72" s="23" t="s">
        <v>1019</v>
      </c>
      <c r="C72" s="23"/>
    </row>
    <row r="73" spans="1:3" ht="30" customHeight="1" x14ac:dyDescent="0.45">
      <c r="A73" s="16" t="s">
        <v>1020</v>
      </c>
      <c r="B73" s="23" t="s">
        <v>1021</v>
      </c>
      <c r="C73" s="23"/>
    </row>
    <row r="74" spans="1:3" ht="30" customHeight="1" x14ac:dyDescent="0.45">
      <c r="A74" s="16" t="s">
        <v>1022</v>
      </c>
      <c r="B74" s="23" t="s">
        <v>1023</v>
      </c>
      <c r="C74" s="23"/>
    </row>
    <row r="75" spans="1:3" ht="30" customHeight="1" x14ac:dyDescent="0.45">
      <c r="A75" s="16" t="s">
        <v>1024</v>
      </c>
      <c r="B75" s="23" t="s">
        <v>1025</v>
      </c>
      <c r="C75" s="23"/>
    </row>
    <row r="76" spans="1:3" ht="30" customHeight="1" x14ac:dyDescent="0.45">
      <c r="A76" s="16" t="s">
        <v>1026</v>
      </c>
      <c r="B76" s="23" t="s">
        <v>1027</v>
      </c>
      <c r="C76" s="23"/>
    </row>
    <row r="77" spans="1:3" ht="43.5" customHeight="1" x14ac:dyDescent="0.45">
      <c r="A77" s="16" t="s">
        <v>1028</v>
      </c>
      <c r="B77" s="23" t="s">
        <v>1029</v>
      </c>
      <c r="C77" s="23"/>
    </row>
    <row r="78" spans="1:3" ht="43.5" customHeight="1" x14ac:dyDescent="0.45">
      <c r="A78" s="16" t="s">
        <v>1030</v>
      </c>
      <c r="B78" s="23" t="s">
        <v>1031</v>
      </c>
      <c r="C78" s="23"/>
    </row>
    <row r="79" spans="1:3" ht="30" customHeight="1" x14ac:dyDescent="0.45">
      <c r="A79" s="16" t="s">
        <v>1032</v>
      </c>
      <c r="B79" s="23" t="s">
        <v>1033</v>
      </c>
      <c r="C79" s="23"/>
    </row>
    <row r="80" spans="1:3" ht="30" customHeight="1" x14ac:dyDescent="0.45">
      <c r="A80" s="16" t="s">
        <v>1034</v>
      </c>
      <c r="B80" s="23" t="s">
        <v>1035</v>
      </c>
      <c r="C80" s="23"/>
    </row>
    <row r="81" spans="1:3" ht="30" customHeight="1" x14ac:dyDescent="0.45">
      <c r="A81" s="21" t="s">
        <v>1036</v>
      </c>
      <c r="B81" s="24" t="s">
        <v>1037</v>
      </c>
      <c r="C81" s="24"/>
    </row>
    <row r="82" spans="1:3" ht="30" customHeight="1" x14ac:dyDescent="0.45">
      <c r="A82" s="16" t="s">
        <v>1038</v>
      </c>
      <c r="B82" s="23" t="s">
        <v>1039</v>
      </c>
      <c r="C82" s="23"/>
    </row>
  </sheetData>
  <mergeCells count="11">
    <mergeCell ref="B72:C72"/>
    <mergeCell ref="B73:C73"/>
    <mergeCell ref="B74:C74"/>
    <mergeCell ref="B75:C75"/>
    <mergeCell ref="B76:C76"/>
    <mergeCell ref="B82:C82"/>
    <mergeCell ref="B77:C77"/>
    <mergeCell ref="B78:C78"/>
    <mergeCell ref="B79:C79"/>
    <mergeCell ref="B80:C80"/>
    <mergeCell ref="B81:C81"/>
  </mergeCells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0" r:id="rId9" xr:uid="{00000000-0004-0000-0500-000008000000}"/>
    <hyperlink ref="B11" r:id="rId10" xr:uid="{00000000-0004-0000-0500-000009000000}"/>
    <hyperlink ref="B12" r:id="rId11" xr:uid="{00000000-0004-0000-0500-00000A000000}"/>
    <hyperlink ref="B13" r:id="rId12" xr:uid="{00000000-0004-0000-0500-00000B000000}"/>
    <hyperlink ref="B14" r:id="rId13" xr:uid="{00000000-0004-0000-0500-00000C000000}"/>
    <hyperlink ref="B15" r:id="rId14" xr:uid="{00000000-0004-0000-0500-00000D000000}"/>
    <hyperlink ref="B16" r:id="rId15" xr:uid="{00000000-0004-0000-0500-00000E000000}"/>
    <hyperlink ref="B17" r:id="rId16" xr:uid="{00000000-0004-0000-0500-00000F000000}"/>
    <hyperlink ref="B18" r:id="rId17" xr:uid="{00000000-0004-0000-0500-000010000000}"/>
    <hyperlink ref="B19" r:id="rId18" xr:uid="{00000000-0004-0000-0500-000011000000}"/>
    <hyperlink ref="B20" r:id="rId19" xr:uid="{00000000-0004-0000-0500-000012000000}"/>
    <hyperlink ref="B21" r:id="rId20" xr:uid="{00000000-0004-0000-0500-000013000000}"/>
    <hyperlink ref="B22" r:id="rId21" xr:uid="{00000000-0004-0000-0500-000014000000}"/>
    <hyperlink ref="B23" r:id="rId22" xr:uid="{00000000-0004-0000-0500-000015000000}"/>
    <hyperlink ref="B24" r:id="rId23" xr:uid="{00000000-0004-0000-0500-000016000000}"/>
    <hyperlink ref="B25" r:id="rId24" xr:uid="{00000000-0004-0000-0500-000017000000}"/>
    <hyperlink ref="B26" r:id="rId25" xr:uid="{00000000-0004-0000-0500-000018000000}"/>
    <hyperlink ref="B27" r:id="rId26" xr:uid="{00000000-0004-0000-0500-000019000000}"/>
    <hyperlink ref="B28" r:id="rId27" xr:uid="{00000000-0004-0000-0500-00001A000000}"/>
    <hyperlink ref="B29" r:id="rId28" xr:uid="{00000000-0004-0000-0500-00001B000000}"/>
    <hyperlink ref="B30" r:id="rId29" xr:uid="{00000000-0004-0000-0500-00001C000000}"/>
    <hyperlink ref="B31" r:id="rId30" xr:uid="{00000000-0004-0000-0500-00001D000000}"/>
    <hyperlink ref="B32" r:id="rId31" xr:uid="{00000000-0004-0000-0500-00001E000000}"/>
    <hyperlink ref="B33" r:id="rId32" xr:uid="{00000000-0004-0000-0500-00001F000000}"/>
    <hyperlink ref="B34" r:id="rId33" xr:uid="{00000000-0004-0000-0500-000020000000}"/>
    <hyperlink ref="B35" r:id="rId34" xr:uid="{00000000-0004-0000-0500-000021000000}"/>
    <hyperlink ref="B36" r:id="rId35" xr:uid="{00000000-0004-0000-0500-000022000000}"/>
    <hyperlink ref="B37" r:id="rId36" xr:uid="{00000000-0004-0000-0500-000023000000}"/>
    <hyperlink ref="B38" r:id="rId37" xr:uid="{00000000-0004-0000-0500-000024000000}"/>
    <hyperlink ref="B39" r:id="rId38" xr:uid="{00000000-0004-0000-0500-000025000000}"/>
    <hyperlink ref="B40" r:id="rId39" xr:uid="{00000000-0004-0000-0500-000026000000}"/>
    <hyperlink ref="B41" r:id="rId40" xr:uid="{00000000-0004-0000-0500-000027000000}"/>
    <hyperlink ref="B42" r:id="rId41" xr:uid="{00000000-0004-0000-0500-000028000000}"/>
    <hyperlink ref="B43" r:id="rId42" xr:uid="{00000000-0004-0000-0500-000029000000}"/>
    <hyperlink ref="B44" r:id="rId43" xr:uid="{00000000-0004-0000-0500-00002A000000}"/>
    <hyperlink ref="B45" r:id="rId44" xr:uid="{00000000-0004-0000-0500-00002B000000}"/>
    <hyperlink ref="B46" r:id="rId45" xr:uid="{00000000-0004-0000-0500-00002C000000}"/>
    <hyperlink ref="B47" r:id="rId46" xr:uid="{00000000-0004-0000-0500-00002D000000}"/>
    <hyperlink ref="B48" r:id="rId47" xr:uid="{00000000-0004-0000-0500-00002E000000}"/>
    <hyperlink ref="B49" r:id="rId48" xr:uid="{00000000-0004-0000-0500-00002F000000}"/>
    <hyperlink ref="B50" r:id="rId49" xr:uid="{00000000-0004-0000-0500-000030000000}"/>
    <hyperlink ref="B51" r:id="rId50" xr:uid="{00000000-0004-0000-0500-000031000000}"/>
    <hyperlink ref="B52" r:id="rId51" xr:uid="{00000000-0004-0000-0500-000032000000}"/>
    <hyperlink ref="B53" r:id="rId52" xr:uid="{00000000-0004-0000-0500-000033000000}"/>
    <hyperlink ref="B54" r:id="rId53" xr:uid="{00000000-0004-0000-0500-000034000000}"/>
    <hyperlink ref="B55" r:id="rId54" xr:uid="{00000000-0004-0000-0500-000035000000}"/>
    <hyperlink ref="B56" r:id="rId55" xr:uid="{00000000-0004-0000-0500-000036000000}"/>
    <hyperlink ref="B57" r:id="rId56" xr:uid="{00000000-0004-0000-0500-000037000000}"/>
    <hyperlink ref="B58" r:id="rId57" xr:uid="{00000000-0004-0000-0500-000038000000}"/>
    <hyperlink ref="B59" r:id="rId58" xr:uid="{00000000-0004-0000-0500-000039000000}"/>
    <hyperlink ref="B60" r:id="rId59" xr:uid="{00000000-0004-0000-0500-00003A000000}"/>
    <hyperlink ref="B61" r:id="rId60" xr:uid="{00000000-0004-0000-0500-00003B000000}"/>
    <hyperlink ref="B62" r:id="rId61" xr:uid="{00000000-0004-0000-0500-00003C000000}"/>
    <hyperlink ref="B63" r:id="rId62" xr:uid="{00000000-0004-0000-0500-00003D000000}"/>
    <hyperlink ref="B64" r:id="rId63" xr:uid="{00000000-0004-0000-0500-00003E000000}"/>
    <hyperlink ref="B65" r:id="rId64" xr:uid="{00000000-0004-0000-0500-00003F000000}"/>
    <hyperlink ref="B66" r:id="rId65" xr:uid="{00000000-0004-0000-0500-000040000000}"/>
    <hyperlink ref="B67" r:id="rId66" xr:uid="{00000000-0004-0000-0500-000041000000}"/>
    <hyperlink ref="B68" r:id="rId67" xr:uid="{00000000-0004-0000-0500-000042000000}"/>
    <hyperlink ref="B69" r:id="rId68" xr:uid="{00000000-0004-0000-0500-00004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3"/>
  <sheetViews>
    <sheetView zoomScaleNormal="100" workbookViewId="0">
      <pane ySplit="1" topLeftCell="A2" activePane="bottomLeft" state="frozen"/>
      <selection pane="bottomLeft"/>
    </sheetView>
  </sheetViews>
  <sheetFormatPr defaultColWidth="8.73046875" defaultRowHeight="15" customHeight="1" x14ac:dyDescent="0.45"/>
  <cols>
    <col min="1" max="1" width="5" customWidth="1"/>
    <col min="2" max="2" width="18" customWidth="1"/>
    <col min="3" max="3" width="30" customWidth="1"/>
    <col min="4" max="4" width="34" customWidth="1"/>
    <col min="5" max="5" width="70" customWidth="1"/>
    <col min="6" max="6" width="60" customWidth="1"/>
    <col min="7" max="7" width="20" customWidth="1"/>
  </cols>
  <sheetData>
    <row r="1" spans="1:7" ht="48" customHeight="1" x14ac:dyDescent="0.45">
      <c r="A1" s="10" t="s">
        <v>1040</v>
      </c>
      <c r="B1" s="10" t="s">
        <v>1041</v>
      </c>
      <c r="C1" s="10" t="s">
        <v>1042</v>
      </c>
      <c r="D1" s="10" t="s">
        <v>1043</v>
      </c>
      <c r="E1" s="10" t="s">
        <v>1044</v>
      </c>
      <c r="F1" s="10" t="s">
        <v>1045</v>
      </c>
      <c r="G1" s="10" t="s">
        <v>1046</v>
      </c>
    </row>
    <row r="2" spans="1:7" ht="43.5" customHeight="1" x14ac:dyDescent="0.45">
      <c r="A2" s="12">
        <v>1</v>
      </c>
      <c r="B2" s="3" t="s">
        <v>19</v>
      </c>
      <c r="C2" s="3" t="s">
        <v>1047</v>
      </c>
      <c r="D2" s="3" t="s">
        <v>1048</v>
      </c>
      <c r="E2" s="3" t="s">
        <v>1049</v>
      </c>
      <c r="F2" s="3" t="s">
        <v>1050</v>
      </c>
      <c r="G2" s="22" t="s">
        <v>1051</v>
      </c>
    </row>
    <row r="3" spans="1:7" ht="43.5" customHeight="1" x14ac:dyDescent="0.45">
      <c r="A3" s="12">
        <v>2</v>
      </c>
      <c r="B3" s="3" t="s">
        <v>19</v>
      </c>
      <c r="C3" s="3" t="s">
        <v>1052</v>
      </c>
      <c r="D3" s="3" t="s">
        <v>1053</v>
      </c>
      <c r="E3" s="3" t="s">
        <v>1054</v>
      </c>
      <c r="F3" s="3" t="s">
        <v>1055</v>
      </c>
      <c r="G3" s="17" t="s">
        <v>1056</v>
      </c>
    </row>
    <row r="4" spans="1:7" ht="43.5" customHeight="1" x14ac:dyDescent="0.45">
      <c r="A4" s="12">
        <v>3</v>
      </c>
      <c r="B4" s="3" t="s">
        <v>19</v>
      </c>
      <c r="C4" s="3" t="s">
        <v>1057</v>
      </c>
      <c r="D4" s="3" t="s">
        <v>1058</v>
      </c>
      <c r="E4" s="3" t="s">
        <v>1059</v>
      </c>
      <c r="F4" s="3" t="s">
        <v>1060</v>
      </c>
      <c r="G4" s="22" t="s">
        <v>1051</v>
      </c>
    </row>
    <row r="5" spans="1:7" ht="30" customHeight="1" x14ac:dyDescent="0.45">
      <c r="A5" s="12">
        <v>4</v>
      </c>
      <c r="B5" s="3" t="s">
        <v>19</v>
      </c>
      <c r="C5" s="3" t="s">
        <v>1061</v>
      </c>
      <c r="D5" s="3" t="s">
        <v>1062</v>
      </c>
      <c r="E5" s="3" t="s">
        <v>1063</v>
      </c>
      <c r="F5" s="3" t="s">
        <v>1064</v>
      </c>
      <c r="G5" s="17" t="s">
        <v>1056</v>
      </c>
    </row>
    <row r="6" spans="1:7" ht="30" customHeight="1" x14ac:dyDescent="0.45">
      <c r="A6" s="12">
        <v>5</v>
      </c>
      <c r="B6" s="3" t="s">
        <v>19</v>
      </c>
      <c r="C6" s="3" t="s">
        <v>1065</v>
      </c>
      <c r="D6" s="3" t="s">
        <v>1066</v>
      </c>
      <c r="E6" s="3" t="s">
        <v>1067</v>
      </c>
      <c r="F6" s="3" t="s">
        <v>1068</v>
      </c>
      <c r="G6" s="22" t="s">
        <v>1051</v>
      </c>
    </row>
    <row r="7" spans="1:7" ht="30" customHeight="1" x14ac:dyDescent="0.45">
      <c r="A7" s="12">
        <v>6</v>
      </c>
      <c r="B7" s="3" t="s">
        <v>19</v>
      </c>
      <c r="C7" s="3" t="s">
        <v>1069</v>
      </c>
      <c r="D7" s="3" t="s">
        <v>1070</v>
      </c>
      <c r="E7" s="3" t="s">
        <v>1071</v>
      </c>
      <c r="F7" s="3" t="s">
        <v>1072</v>
      </c>
      <c r="G7" s="17" t="s">
        <v>1056</v>
      </c>
    </row>
    <row r="8" spans="1:7" ht="43.5" customHeight="1" x14ac:dyDescent="0.45">
      <c r="A8" s="12">
        <v>7</v>
      </c>
      <c r="B8" s="3" t="s">
        <v>19</v>
      </c>
      <c r="C8" s="3" t="s">
        <v>1073</v>
      </c>
      <c r="D8" s="3" t="s">
        <v>1074</v>
      </c>
      <c r="E8" s="3" t="s">
        <v>1075</v>
      </c>
      <c r="F8" s="3" t="s">
        <v>1076</v>
      </c>
      <c r="G8" s="17" t="s">
        <v>1056</v>
      </c>
    </row>
    <row r="9" spans="1:7" ht="30" customHeight="1" x14ac:dyDescent="0.45">
      <c r="A9" s="12">
        <v>8</v>
      </c>
      <c r="B9" s="3" t="s">
        <v>17</v>
      </c>
      <c r="C9" s="3" t="s">
        <v>1077</v>
      </c>
      <c r="D9" s="3" t="s">
        <v>1078</v>
      </c>
      <c r="E9" s="3" t="s">
        <v>1079</v>
      </c>
      <c r="F9" s="3" t="s">
        <v>1080</v>
      </c>
      <c r="G9" s="17" t="s">
        <v>1056</v>
      </c>
    </row>
    <row r="10" spans="1:7" ht="43.5" customHeight="1" x14ac:dyDescent="0.45">
      <c r="A10" s="12">
        <v>9</v>
      </c>
      <c r="B10" s="3" t="s">
        <v>17</v>
      </c>
      <c r="C10" s="3" t="s">
        <v>1081</v>
      </c>
      <c r="D10" s="3" t="s">
        <v>1082</v>
      </c>
      <c r="E10" s="3" t="s">
        <v>1083</v>
      </c>
      <c r="F10" s="3" t="s">
        <v>1084</v>
      </c>
      <c r="G10" s="17" t="s">
        <v>1056</v>
      </c>
    </row>
    <row r="11" spans="1:7" ht="43.5" customHeight="1" x14ac:dyDescent="0.45">
      <c r="A11" s="12">
        <v>10</v>
      </c>
      <c r="B11" s="3" t="s">
        <v>17</v>
      </c>
      <c r="C11" s="3" t="s">
        <v>1085</v>
      </c>
      <c r="D11" s="3" t="s">
        <v>1086</v>
      </c>
      <c r="E11" s="3" t="s">
        <v>1087</v>
      </c>
      <c r="F11" s="3" t="s">
        <v>1088</v>
      </c>
      <c r="G11" s="17" t="s">
        <v>1056</v>
      </c>
    </row>
    <row r="12" spans="1:7" ht="30" customHeight="1" x14ac:dyDescent="0.45">
      <c r="A12" s="12">
        <v>11</v>
      </c>
      <c r="B12" s="3" t="s">
        <v>17</v>
      </c>
      <c r="C12" s="3" t="s">
        <v>1089</v>
      </c>
      <c r="D12" s="3" t="s">
        <v>1090</v>
      </c>
      <c r="E12" s="3" t="s">
        <v>1091</v>
      </c>
      <c r="F12" s="3" t="s">
        <v>1092</v>
      </c>
      <c r="G12" s="17" t="s">
        <v>1093</v>
      </c>
    </row>
    <row r="13" spans="1:7" ht="56.25" customHeight="1" x14ac:dyDescent="0.45">
      <c r="A13" s="12">
        <v>12</v>
      </c>
      <c r="B13" s="3" t="s">
        <v>15</v>
      </c>
      <c r="C13" s="3" t="s">
        <v>1094</v>
      </c>
      <c r="D13" s="3" t="s">
        <v>1095</v>
      </c>
      <c r="E13" s="3" t="s">
        <v>1096</v>
      </c>
      <c r="F13" s="3" t="s">
        <v>1097</v>
      </c>
      <c r="G13" s="17" t="s">
        <v>1093</v>
      </c>
    </row>
    <row r="14" spans="1:7" ht="30" customHeight="1" x14ac:dyDescent="0.45">
      <c r="A14" s="12">
        <v>13</v>
      </c>
      <c r="B14" s="3" t="s">
        <v>25</v>
      </c>
      <c r="C14" s="3" t="s">
        <v>1098</v>
      </c>
      <c r="D14" s="3" t="s">
        <v>1099</v>
      </c>
      <c r="E14" s="3" t="s">
        <v>1100</v>
      </c>
      <c r="F14" s="3" t="s">
        <v>1101</v>
      </c>
      <c r="G14" s="17" t="s">
        <v>1056</v>
      </c>
    </row>
    <row r="15" spans="1:7" ht="43.5" customHeight="1" x14ac:dyDescent="0.45">
      <c r="A15" s="12">
        <v>14</v>
      </c>
      <c r="B15" s="3" t="s">
        <v>15</v>
      </c>
      <c r="C15" s="3" t="s">
        <v>1102</v>
      </c>
      <c r="D15" s="3" t="s">
        <v>1103</v>
      </c>
      <c r="E15" s="3" t="s">
        <v>1104</v>
      </c>
      <c r="F15" s="3" t="s">
        <v>1105</v>
      </c>
      <c r="G15" s="17" t="s">
        <v>1056</v>
      </c>
    </row>
    <row r="16" spans="1:7" ht="69.75" customHeight="1" x14ac:dyDescent="0.45">
      <c r="A16" s="12">
        <v>15</v>
      </c>
      <c r="B16" s="3" t="s">
        <v>19</v>
      </c>
      <c r="C16" s="3" t="s">
        <v>1106</v>
      </c>
      <c r="D16" s="3" t="s">
        <v>1107</v>
      </c>
      <c r="E16" s="3" t="s">
        <v>1108</v>
      </c>
      <c r="F16" s="3" t="s">
        <v>1109</v>
      </c>
      <c r="G16" s="17" t="s">
        <v>1056</v>
      </c>
    </row>
    <row r="17" spans="1:7" ht="30" customHeight="1" x14ac:dyDescent="0.45">
      <c r="A17" s="12">
        <v>16</v>
      </c>
      <c r="B17" s="3" t="s">
        <v>19</v>
      </c>
      <c r="C17" s="3" t="s">
        <v>1110</v>
      </c>
      <c r="D17" s="3" t="s">
        <v>1111</v>
      </c>
      <c r="E17" s="3" t="s">
        <v>1112</v>
      </c>
      <c r="F17" s="3" t="s">
        <v>1113</v>
      </c>
      <c r="G17" s="17" t="s">
        <v>1056</v>
      </c>
    </row>
    <row r="18" spans="1:7" ht="30" customHeight="1" x14ac:dyDescent="0.45">
      <c r="A18" s="12">
        <v>17</v>
      </c>
      <c r="B18" s="3" t="s">
        <v>21</v>
      </c>
      <c r="C18" s="3" t="s">
        <v>1114</v>
      </c>
      <c r="D18" s="3" t="s">
        <v>1115</v>
      </c>
      <c r="E18" s="3" t="s">
        <v>1116</v>
      </c>
      <c r="F18" s="3" t="s">
        <v>1117</v>
      </c>
      <c r="G18" s="17" t="s">
        <v>1093</v>
      </c>
    </row>
    <row r="19" spans="1:7" ht="56.25" customHeight="1" x14ac:dyDescent="0.45">
      <c r="A19" s="12">
        <v>18</v>
      </c>
      <c r="B19" s="3" t="s">
        <v>17</v>
      </c>
      <c r="C19" s="3" t="s">
        <v>1118</v>
      </c>
      <c r="D19" s="3" t="s">
        <v>1119</v>
      </c>
      <c r="E19" s="3" t="s">
        <v>1120</v>
      </c>
      <c r="F19" s="3" t="s">
        <v>1121</v>
      </c>
      <c r="G19" s="17" t="s">
        <v>1093</v>
      </c>
    </row>
    <row r="20" spans="1:7" ht="30" customHeight="1" x14ac:dyDescent="0.45">
      <c r="A20" s="12">
        <v>19</v>
      </c>
      <c r="B20" s="3" t="s">
        <v>17</v>
      </c>
      <c r="C20" s="3" t="s">
        <v>1122</v>
      </c>
      <c r="D20" s="3" t="s">
        <v>1123</v>
      </c>
      <c r="E20" s="3" t="s">
        <v>1124</v>
      </c>
      <c r="F20" s="3" t="s">
        <v>1125</v>
      </c>
      <c r="G20" s="17" t="s">
        <v>1056</v>
      </c>
    </row>
    <row r="21" spans="1:7" ht="43.5" customHeight="1" x14ac:dyDescent="0.45">
      <c r="A21" s="12">
        <v>20</v>
      </c>
      <c r="B21" s="3" t="s">
        <v>25</v>
      </c>
      <c r="C21" s="3" t="s">
        <v>1126</v>
      </c>
      <c r="D21" s="3" t="s">
        <v>1127</v>
      </c>
      <c r="E21" s="3" t="s">
        <v>1128</v>
      </c>
      <c r="F21" s="3" t="s">
        <v>1129</v>
      </c>
      <c r="G21" s="17" t="s">
        <v>1056</v>
      </c>
    </row>
    <row r="23" spans="1:7" ht="120" customHeight="1" x14ac:dyDescent="0.45">
      <c r="A23" s="6" t="s">
        <v>1130</v>
      </c>
      <c r="B23" s="25" t="s">
        <v>1131</v>
      </c>
      <c r="C23" s="25"/>
      <c r="D23" s="25"/>
      <c r="E23" s="25"/>
      <c r="F23" s="25"/>
      <c r="G23" s="25"/>
    </row>
  </sheetData>
  <autoFilter ref="A1:G21" xr:uid="{00000000-0009-0000-0000-000006000000}"/>
  <mergeCells count="1">
    <mergeCell ref="B23:G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Country_Centres</vt:lpstr>
      <vt:lpstr>KOL_Roster</vt:lpstr>
      <vt:lpstr>Tier_Counts</vt:lpstr>
      <vt:lpstr>Infrastructure</vt:lpstr>
      <vt:lpstr>Sources_Caveats</vt:lpstr>
      <vt:lpstr>Verification_Flags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Pepper</dc:creator>
  <cp:keywords/>
  <dc:description/>
  <cp:lastModifiedBy>Ian Pepper</cp:lastModifiedBy>
  <cp:revision>0</cp:revision>
  <dcterms:created xsi:type="dcterms:W3CDTF">2026-10-14T13:47:24Z</dcterms:created>
  <dcterms:modified xsi:type="dcterms:W3CDTF">2026-10-14T13:49:45Z</dcterms:modified>
  <cp:category/>
  <cp:contentStatus/>
</cp:coreProperties>
</file>