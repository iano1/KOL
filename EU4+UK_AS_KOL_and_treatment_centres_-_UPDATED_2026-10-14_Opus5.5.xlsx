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untry_Centres" sheetId="2" state="visible" r:id="rId4"/>
    <sheet name="KOL_Roster" sheetId="3" state="visible" r:id="rId5"/>
    <sheet name="Tier_Counts" sheetId="4" state="visible" r:id="rId6"/>
    <sheet name="Infrastructure" sheetId="5" state="visible" r:id="rId7"/>
    <sheet name="Sources_Caveats" sheetId="6" state="visible" r:id="rId8"/>
    <sheet name="Verification_Flags" sheetId="7" state="visible" r:id="rId9"/>
  </sheets>
  <definedNames>
    <definedName function="false" hidden="true" localSheetId="1" name="_xlnm._FilterDatabase" vbProcedure="false">Country_Centres!$A$1:$M$26</definedName>
    <definedName function="false" hidden="true" localSheetId="2" name="_xlnm._FilterDatabase" vbProcedure="false">KOL_Roster!$A$1:$J$45</definedName>
    <definedName function="false" hidden="true" localSheetId="6" name="_xlnm._FilterDatabase" vbProcedure="false">Verification_Flags!$A$1:$G$13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<sst xmlns="http://schemas.openxmlformats.org/spreadsheetml/2006/main" count="1145" uniqueCount="736">
  <si>
    <t xml:space="preserve">EU4+UK Angelman Syndrome Treatment Centres and KOLs — Mapping &amp; Tiering</t>
  </si>
  <si>
    <t xml:space="preserve">Prepared for</t>
  </si>
  <si>
    <t xml:space="preserve">Medical Affairs workstream — ION582 / obudanersen (Ionis Pharmaceuticals) (Angelman syndrome)</t>
  </si>
  <si>
    <t xml:space="preserve">Geographies</t>
  </si>
  <si>
    <t xml:space="preserve">EU4+UK: Germany, France, Italy, Spain, United Kingdom</t>
  </si>
  <si>
    <t xml:space="preserve">Date compiled</t>
  </si>
  <si>
    <t xml:space="preserve">14 October 2026</t>
  </si>
  <si>
    <t xml:space="preserve">Compiled by</t>
  </si>
  <si>
    <t xml:space="preserve">Microsoft Copilot (Opus 5.5) for Ian Pepper</t>
  </si>
  <si>
    <t xml:space="preserve">Method</t>
  </si>
  <si>
    <t xml:space="preserve">Cross-referenced from public sources (trial registries, sponsor/patient-organisation communications, guidelines, hospital and Orphanet directories). Template: PROMPT_KOL_Centre_Map_v2.</t>
  </si>
  <si>
    <t xml:space="preserve">Asset status</t>
  </si>
  <si>
    <t xml:space="preserve">ION582 (obudanersen): HALOS Ph1/2 (NCT05127226, 71 enrolled); REVEAL Ph3 (NCT06914609) — Cohort 1 fully enrolled Jul 2026, initial results expected H2 2027. Competitor apazunersen (GTX-102) missed Ph3 Aspire endpoints (2 Sep 2026); rugonersen (Oak Hill Bio) entering Ph3 (BEACON).</t>
  </si>
  <si>
    <t xml:space="preserve">Tab guide</t>
  </si>
  <si>
    <t xml:space="preserve">Country_Centres</t>
  </si>
  <si>
    <t xml:space="preserve">Master flat table — one row per Tier 1–3 centre with P1–P5 flags</t>
  </si>
  <si>
    <t xml:space="preserve">KOL_Roster</t>
  </si>
  <si>
    <t xml:space="preserve">Named clinicians with signal, scoring and KOL tier for TOV</t>
  </si>
  <si>
    <t xml:space="preserve">Tier_Counts</t>
  </si>
  <si>
    <t xml:space="preserve">Centre and KOL matrices by country + cross-cuts (formula-driven)</t>
  </si>
  <si>
    <t xml:space="preserve">Infrastructure</t>
  </si>
  <si>
    <t xml:space="preserve">AS diagnostic/management requirements and ION582 asset overlay</t>
  </si>
  <si>
    <t xml:space="preserve">Sources_Caveats</t>
  </si>
  <si>
    <t xml:space="preserve">Sources with URLs/DOIs + data-quality caveats</t>
  </si>
  <si>
    <t xml:space="preserve">Verification_Flags</t>
  </si>
  <si>
    <t xml:space="preserve">Adversarial QA pass — items for human decision</t>
  </si>
  <si>
    <t xml:space="preserve">The five signal pillars chosen for Angelman syndrome</t>
  </si>
  <si>
    <t xml:space="preserve">P1 — Guideline-author signal</t>
  </si>
  <si>
    <t xml:space="preserve">Duis J et al. 2022, 'A multidisciplinary approach and consensus statement to establish standards of care for Angelman syndrome', Mol Genet Genomic Med 10(3):e1843 (PMID 35150089). SUBSTITUTION: no EU4+UK clinician is an author (EU authors are Erasmus MC, NL and Queen Fabiola, BE — outside scope). Country-level analogue used: France PNDS 'Syndrome d'Angelman' (HAS/DéfiScience, Nov 2021, coordinated by Dr Delphine Héron). No equivalent national guideline located for DE, IT, ES or UK.</t>
  </si>
  <si>
    <t xml:space="preserve">P2 — Publication / trial-authorship signal</t>
  </si>
  <si>
    <t xml:space="preserve">AS disease publications plus ION582 (HALOS NCT05127226; REVEAL NCT06914609) and competitor-ASO trial authorship: rugonersen TANGELO (NCT04428281; Hipp et al., Nat Med 2025, PMID 40646322), apazunersen/GTX-102 (NCT04259281 Ph1/2; Aspire NCT06617429; Aurora NCT07157254). Key national review: Manssen et al., Neuropediatrics 2025 (DOI 10.1055/a-2399-0191).</t>
  </si>
  <si>
    <t xml:space="preserve">P3 — Registry / outcome-study signal</t>
  </si>
  <si>
    <t xml:space="preserve">SUBSTITUTION: no pan-European AS registry with a public site list. Used the UBE3A-ASO trial-site network (HALOS, REVEAL, Aspire, Aurora, TANGELO) as the trial-ready site proxy, plus the Oxford AS Natural History Study (FAST UK-funded; CI Prof Laurent Servais) and the Global Angelman Syndrome Registry (NCT05293184; patient-reported, no site roles). 'Coordinator' = national lead/chief investigator where publicly named.</t>
  </si>
  <si>
    <t xml:space="preserve">P4 — Reference-network signal</t>
  </si>
  <si>
    <t xml:space="preserve">ERN ITHACA (rare malformation syndromes, intellectual &amp; neurodevelopmental disorders); ERN EpiCARE secondary. National analogues used where ERN HCP status could not be verified: France CRMR (DéfiScience), Spain XUEC (Catalonia), Italy national rare-disease centre listing (malattierare.gov.it). UK: N/A (post-Brexit) — NHS / national designation used instead.</t>
  </si>
  <si>
    <t xml:space="preserve">P5 — Disease-programme signal</t>
  </si>
  <si>
    <t xml:space="preserve">Dedicated Angelman syndrome clinic/unit (e.g. ASF-recognised clinic, 'Unidad de Angelman', 'Angelman Zentrum', specialist AS clinic) or a rare-ID/DEE service that explicitly lists AS.</t>
  </si>
  <si>
    <t xml:space="preserve">Centre Tier definitions</t>
  </si>
  <si>
    <t xml:space="preserve">Tier 1 — Anchor / reference</t>
  </si>
  <si>
    <t xml:space="preserve">Hosts a P1 guideline author OR a P3 registry/trial coordinator, AND is a P4 reference-network HCP (or national equivalent), AND carries P2 publication/trial authorship (last ~5 y). Role: first-wave engagement, advisory-board core, ION582 evidence partners.</t>
  </si>
  <si>
    <t xml:space="preserve">Tier 2 — National referral</t>
  </si>
  <si>
    <t xml:space="preserve">P4 HCP with P5 programme, OR a P3 participating (trial) site; university hospital with specialist care and AS-relevant diagnostics; recurring P2. Role: second-wave outreach, regional hubs.</t>
  </si>
  <si>
    <t xml:space="preserve">Tier 3 — Tertiary capable</t>
  </si>
  <si>
    <t xml:space="preserve">National/regional reference centre or large university hospital with core infrastructure, typically not research-active in AS. Role: launch distribution, HCP education.</t>
  </si>
  <si>
    <t xml:space="preserve">Tier 4 — Community</t>
  </si>
  <si>
    <t xml:space="preserve">Not enumerated (not requested). AS is a chronic, managed condition — care concentrates at expert centres; Tier 4 is addressed via national societies and patient organisations.</t>
  </si>
  <si>
    <t xml:space="preserve">KOL Tier definitions (scoring)</t>
  </si>
  <si>
    <t xml:space="preserve">Domains (1/3/5 pts each)</t>
  </si>
  <si>
    <t xml:space="preserve">Guideline authorship (G) · Publications (P) · Clinical trials (T) · Academic appointment (A) · Society roles (S) · Speaker engagement (Sp) · Awards (Aw, 1–2).</t>
  </si>
  <si>
    <t xml:space="preserve">1 point</t>
  </si>
  <si>
    <t xml:space="preserve">Local protocols; ≥3 pubs; local/national trial site investigator; specialist; local society member; occasional local speaker.</t>
  </si>
  <si>
    <t xml:space="preserve">3 points</t>
  </si>
  <si>
    <t xml:space="preserve">National guideline co-author; ≥5 pubs (7 y); national PI / multi-country investigator; senior physician / assoc. prof; national society board; regular national speaker.</t>
  </si>
  <si>
    <t xml:space="preserve">5 points</t>
  </si>
  <si>
    <t xml:space="preserve">International guideline author; ≥5 first/last-author pubs (7 y); lead/site PI in international or pivotal trials; department head / group leader; executive society leadership; international keynote.</t>
  </si>
  <si>
    <t xml:space="preserve">Rules</t>
  </si>
  <si>
    <t xml:space="preserve">Highest level fully supported by evidence; no inference; default to 1 where evidence is limited; prioritise last 5–7 years.</t>
  </si>
  <si>
    <t xml:space="preserve">Tiers</t>
  </si>
  <si>
    <t xml:space="preserve">Tier 1 = 24–30 · Tier 2 = 12–23 · Tier 3 = 0–11. Score breakdown shown in KOL_Roster column J.</t>
  </si>
  <si>
    <t xml:space="preserve">Critical caveats</t>
  </si>
  <si>
    <t xml:space="preserve">Chronic disease</t>
  </si>
  <si>
    <t xml:space="preserve">AS is a chronic neurodevelopmental disorder: patients concentrate at expert centres, so the acute-presentation dispersion caveat does not apply.</t>
  </si>
  <si>
    <t xml:space="preserve">No EU4+UK P1 apex cohort</t>
  </si>
  <si>
    <t xml:space="preserve">The international SoC consensus (Duis 2022) has no EU4+UK authors; France is the only EU4+UK country with a national AS guideline (PNDS 2021). Tier 1 therefore relies on the P3 national-lead substitution.</t>
  </si>
  <si>
    <t xml:space="preserve">UK</t>
  </si>
  <si>
    <t xml:space="preserve">Post-Brexit: P4 = N/A; tiered on trial/natural-history leadership.</t>
  </si>
  <si>
    <t xml:space="preserve">Germany</t>
  </si>
  <si>
    <t xml:space="preserve">No German Tier 1 — no national guideline, no publicly named ION582 national lead.</t>
  </si>
  <si>
    <t xml:space="preserve">KOL minimum</t>
  </si>
  <si>
    <t xml:space="preserve">The 15-KOLs-per-country minimum was NOT met without fabrication (FR 5, DE 10, IT 12, ES 12, UK 5). Shortfall is flagged; no names were invented.</t>
  </si>
  <si>
    <t xml:space="preserve">KOL gap-fill methodology</t>
  </si>
  <si>
    <t xml:space="preserve">Order applied</t>
  </si>
  <si>
    <t xml:space="preserve">(a) P2 senior/corresponding authors on AS or ASO-trial papers → (b) reference-network / CRMR coordinator → (c) national rare-disease / patient-organisation reference-centre lead (OR.S.A., FAST España, AngelmanUK) → (d) hospital directories. Untraceable → 'Not publicly identified — verify locally'.</t>
  </si>
  <si>
    <t xml:space="preserve">HOW TO USE</t>
  </si>
  <si>
    <t xml:space="preserve">Field deployment</t>
  </si>
  <si>
    <t xml:space="preserve">Country_Centres: sort Tier ascending, then Country.</t>
  </si>
  <si>
    <t xml:space="preserve">Trial-site shortlist</t>
  </si>
  <si>
    <t xml:space="preserve">Filter P3 ≠ 'No' AND P2 begins 'Yes'.</t>
  </si>
  <si>
    <t xml:space="preserve">ION582 evidence partners</t>
  </si>
  <si>
    <t xml:space="preserve">Filter P2 contains 'ION582' — HALOS/REVEAL sites.</t>
  </si>
  <si>
    <t xml:space="preserve">Competitor-displaceable sites</t>
  </si>
  <si>
    <t xml:space="preserve">Filter P2 contains 'competitor' — Aspire/Aurora/TANGELO sites (Aspire failure Sep 2026).</t>
  </si>
  <si>
    <t xml:space="preserve">Verification</t>
  </si>
  <si>
    <t xml:space="preserve">Re-verify affiliation and trial activity before any outreach; review Verification_Flags first.</t>
  </si>
  <si>
    <t xml:space="preserve">Country</t>
  </si>
  <si>
    <t xml:space="preserve">Tier</t>
  </si>
  <si>
    <t xml:space="preserve">City</t>
  </si>
  <si>
    <t xml:space="preserve">Centre / Hospital</t>
  </si>
  <si>
    <t xml:space="preserve">Unit / Department</t>
  </si>
  <si>
    <t xml:space="preserve">KOL / Lead clinician(s)</t>
  </si>
  <si>
    <t xml:space="preserve">Role / Affiliation signal</t>
  </si>
  <si>
    <t xml:space="preserve">P1: AS guideline author (Duis 2022 / national PNDS)</t>
  </si>
  <si>
    <t xml:space="preserve">P2: AS / ASO-trial publications (5y)</t>
  </si>
  <si>
    <t xml:space="preserve">P3: ASO trial / natural-history coord/site</t>
  </si>
  <si>
    <t xml:space="preserve">P4: ERN ITHACA HCP (or national analogue)</t>
  </si>
  <si>
    <t xml:space="preserve">P5: Dedicated AS programme</t>
  </si>
  <si>
    <t xml:space="preserve">Notes</t>
  </si>
  <si>
    <t xml:space="preserve">France</t>
  </si>
  <si>
    <t xml:space="preserve">Paris</t>
  </si>
  <si>
    <t xml:space="preserve">Hôpital Universitaire Necker-Enfants Malades (AP-HP)</t>
  </si>
  <si>
    <t xml:space="preserve">Centre de référence Déficiences intellectuelles et polyhandicaps de causes rares (site constitutif Necker)</t>
  </si>
  <si>
    <t xml:space="preserve">Pr Nadia Bahi-Buisson (médecin responsable CRMR site); HALOS site PI: Not publicly identified — verify locally</t>
  </si>
  <si>
    <t xml:space="preserve">Only French HALOS (ION582) site; Aurora (GTX-102) site; CRMR site affiliated to ERN ITHACA</t>
  </si>
  <si>
    <t xml:space="preserve">No</t>
  </si>
  <si>
    <t xml:space="preserve">Yes — ION582 trial (HALOS site); competitor trial (Aurora site)</t>
  </si>
  <si>
    <t xml:space="preserve">Site (HALOS; Aurora)</t>
  </si>
  <si>
    <t xml:space="preserve">Yes (ERN ITHACA-affiliated CRMR, per AP-HP Necker site)</t>
  </si>
  <si>
    <t xml:space="preserve">Partial (Rett/DEE/polyhandicap centre listing AS)</t>
  </si>
  <si>
    <t xml:space="preserve">ION582 evidence-partner candidate: first French HALOS patient enrolled by Nov 2023. Upgrade to Tier 1 if HALOS national-lead role or PNDS authorship confirmed.</t>
  </si>
  <si>
    <t xml:space="preserve">Hôpital de la Pitié-Salpêtrière (AP-HP Sorbonne Université)</t>
  </si>
  <si>
    <t xml:space="preserve">Centre de Référence Coordonnateur 'Déficiences Intellectuelles de causes rares' (filière DéfiScience)</t>
  </si>
  <si>
    <t xml:space="preserve">Dr Delphine Héron (PNDS coordinator)</t>
  </si>
  <si>
    <t xml:space="preserve">Coordinated the French national PNDS for Angelman syndrome (HAS, Nov 2021)</t>
  </si>
  <si>
    <t xml:space="preserve">Yes — national PNDS (country-level P1)</t>
  </si>
  <si>
    <t xml:space="preserve">Qualified — AS-specific 5-y authorship not verified</t>
  </si>
  <si>
    <t xml:space="preserve">National analogue: CRMR coordonnateur (ERN ITHACA status — verify)</t>
  </si>
  <si>
    <t xml:space="preserve">Partial (rare-cause ID reference centre)</t>
  </si>
  <si>
    <t xml:space="preserve">National guideline anchor; not an ASO trial site on public lists.</t>
  </si>
  <si>
    <t xml:space="preserve">Marseille</t>
  </si>
  <si>
    <t xml:space="preserve">Hôpital de la Timone (AP-HM)</t>
  </si>
  <si>
    <t xml:space="preserve">Neurologie pédiatrique / neuro-métabolisme — CRMR épilepsies rares; CRMR déficience intellectuelle de cause rare</t>
  </si>
  <si>
    <t xml:space="preserve">Pr Mathieu Milh (chef de service); Aurora site PI: Not publicly identified — verify locally</t>
  </si>
  <si>
    <t xml:space="preserve">Aurora (GTX-102) site; hosts rare-epilepsy and rare-ID reference centres</t>
  </si>
  <si>
    <t xml:space="preserve">Yes — competitor trial (Aurora site)</t>
  </si>
  <si>
    <t xml:space="preserve">Site (Aurora)</t>
  </si>
  <si>
    <t xml:space="preserve">National analogue: CRMR (ERN status — verify)</t>
  </si>
  <si>
    <t xml:space="preserve">Partial (rare epilepsy/ID services)</t>
  </si>
  <si>
    <t xml:space="preserve">Competitor-trial site — displaceable/trial-ready; Aspire failure (Sep 2026) may free capacity.</t>
  </si>
  <si>
    <t xml:space="preserve">Munich</t>
  </si>
  <si>
    <t xml:space="preserve">LMU Klinikum — Dr. von Haunersches Kinderspital</t>
  </si>
  <si>
    <t xml:space="preserve">Pädiatrische Neurologie, Entwicklungsneurologie und Sozialpädiatrie</t>
  </si>
  <si>
    <t xml:space="preserve">Dr Lena Manssen; Dr Christine Makowski (review authors); REVEAL/Aspire PI: Not publicly identified — verify locally</t>
  </si>
  <si>
    <t xml:space="preserve">First EU REVEAL (ION582 Ph3) site activated (Apr 2026); Aspire (GTX-102) site; authors of 2025 AS precision-medicine review</t>
  </si>
  <si>
    <t xml:space="preserve">Yes — disease (Manssen et al. 2025); ION582 trial site; competitor trial site</t>
  </si>
  <si>
    <t xml:space="preserve">Site (REVEAL; Aspire)</t>
  </si>
  <si>
    <t xml:space="preserve">Verify (ERN ITHACA list)</t>
  </si>
  <si>
    <t xml:space="preserve">Partial — not confirmed as a named AS clinic</t>
  </si>
  <si>
    <t xml:space="preserve">Highest-value German ION582 site. Tier 1 upgrade blocked only by absent P1 / unverified P4.</t>
  </si>
  <si>
    <t xml:space="preserve">Leipzig</t>
  </si>
  <si>
    <t xml:space="preserve">Universitätsklinikum Leipzig</t>
  </si>
  <si>
    <t xml:space="preserve">Neuropädiatrie (Klinik für Kinder- und Jugendmedizin); Institut für Humangenetik; Zentrum für Seltene Erkrankungen</t>
  </si>
  <si>
    <t xml:space="preserve">Prof Johannes R. Lemke; Dr Ilona Krey; Dr Andreas Merkenschlager; Dr Janina Gburek-Augustat</t>
  </si>
  <si>
    <t xml:space="preserve">GTX-102 Ph1/2 and Aspire site; co-authors of 2025 AS precision-medicine review</t>
  </si>
  <si>
    <t xml:space="preserve">Yes — disease (Manssen et al. 2025); competitor trial (GTX-102 Ph1/2, Aspire)</t>
  </si>
  <si>
    <t xml:space="preserve">Site (GTX-102 Ph1/2; Aspire)</t>
  </si>
  <si>
    <t xml:space="preserve">Verify (ERN ITHACA / EpiCARE list)</t>
  </si>
  <si>
    <t xml:space="preserve">Partial (Rare-disease centre)</t>
  </si>
  <si>
    <t xml:space="preserve">Competitor-trial PI pool; strong genetics/DEE research footprint.</t>
  </si>
  <si>
    <t xml:space="preserve">Hamburg</t>
  </si>
  <si>
    <t xml:space="preserve">Universitätsklinikum Hamburg-Eppendorf (UKE)</t>
  </si>
  <si>
    <t xml:space="preserve">Klinik für Kinder- und Jugendmedizin — Arbeitsgruppe Neuropädiatrie</t>
  </si>
  <si>
    <t xml:space="preserve">Prof Jonas Denecke (neuropaediatrics lead); GTX-102 site PI: Not publicly identified — verify locally</t>
  </si>
  <si>
    <t xml:space="preserve">GTX-102 Ph1/2 and Aspire site</t>
  </si>
  <si>
    <t xml:space="preserve">Yes — competitor trial (GTX-102 Ph1/2, Aspire)</t>
  </si>
  <si>
    <t xml:space="preserve">Verify (ERN list)</t>
  </si>
  <si>
    <t xml:space="preserve">No (epilepsy/neuromuscular/TSC focus)</t>
  </si>
  <si>
    <t xml:space="preserve">Competitor-trial site; trial-ready IT-dosing infrastructure.</t>
  </si>
  <si>
    <t xml:space="preserve">Aachen</t>
  </si>
  <si>
    <t xml:space="preserve">Universitätsklinikum Aachen — MZEB</t>
  </si>
  <si>
    <t xml:space="preserve">Angelman Zentrum Aachen (ASF clinic; adults)</t>
  </si>
  <si>
    <t xml:space="preserve">Dr Andrea Maier (coordinator)</t>
  </si>
  <si>
    <t xml:space="preserve">Orphanet-listed AS expert centre for adults; ASF clinic</t>
  </si>
  <si>
    <t xml:space="preserve">Yes (Angelman Zentrum Aachen)</t>
  </si>
  <si>
    <t xml:space="preserve">Adult transition / Cohort-2-type population; not research-active per public sources.</t>
  </si>
  <si>
    <t xml:space="preserve">Italy</t>
  </si>
  <si>
    <t xml:space="preserve">Pisa</t>
  </si>
  <si>
    <t xml:space="preserve">Azienda Ospedaliero-Universitaria Pisana / IRCCS Fondazione Stella Maris</t>
  </si>
  <si>
    <t xml:space="preserve">UO Neurologia dello Sviluppo (Stella Maris) with AOUP Phase 1 Unit</t>
  </si>
  <si>
    <t xml:space="preserve">Prof Roberta Battini (HALOS PI)</t>
  </si>
  <si>
    <t xml:space="preserve">Only Italian HALOS (ION582 Ph1/2) site; national PI; REVEAL site</t>
  </si>
  <si>
    <t xml:space="preserve">Yes — ION582 trial (HALOS PI)</t>
  </si>
  <si>
    <t xml:space="preserve">Coordinator (qualified — sole national HALOS PI)</t>
  </si>
  <si>
    <t xml:space="preserve">Partial (developmental neurology unit)</t>
  </si>
  <si>
    <t xml:space="preserve">ION582 evidence partner. Tier 1 via P3 national-lead substitution; P1 absent (no Italian AS guideline). See Verification_Flags.</t>
  </si>
  <si>
    <t xml:space="preserve">Milan</t>
  </si>
  <si>
    <t xml:space="preserve">Fondazione IRCCS Istituto Neurologico Carlo Besta</t>
  </si>
  <si>
    <t xml:space="preserve">Dip. Neuroscienze Pediatriche — Neurologia dello sviluppo / NPI 2 Epilettologia</t>
  </si>
  <si>
    <t xml:space="preserve">Dr Chiara Pantaleoni; Dr Tiziana Granata; Dr Giovanna Zorzi (dept director)</t>
  </si>
  <si>
    <t xml:space="preserve">REVEAL and Aurora site; listed national AS diagnosis &amp; care centre</t>
  </si>
  <si>
    <t xml:space="preserve">Yes — ION582 trial site; competitor trial (Aurora)</t>
  </si>
  <si>
    <t xml:space="preserve">Site (REVEAL; Aurora)</t>
  </si>
  <si>
    <t xml:space="preserve">National analogue: malattierare.gov.it centre (ERN status — verify)</t>
  </si>
  <si>
    <t xml:space="preserve">Partial (AS listed under developmental neurology)</t>
  </si>
  <si>
    <t xml:space="preserve">Rome</t>
  </si>
  <si>
    <t xml:space="preserve">Ospedale Pediatrico Bambino Gesù (IRCCS)</t>
  </si>
  <si>
    <t xml:space="preserve">Neuropsichiatria / Neurologia pediatrica</t>
  </si>
  <si>
    <t xml:space="preserve">REVEAL PI: Not publicly identified — verify locally</t>
  </si>
  <si>
    <t xml:space="preserve">REVEAL site; Aurora 'Rome clinical trial site' (institution unnamed on registry)</t>
  </si>
  <si>
    <t xml:space="preserve">Yes — ION582 trial site</t>
  </si>
  <si>
    <t xml:space="preserve">Site (REVEAL)</t>
  </si>
  <si>
    <t xml:space="preserve">Partial (AS disease page)</t>
  </si>
  <si>
    <t xml:space="preserve">Conegliano (TV)</t>
  </si>
  <si>
    <t xml:space="preserve">Associazione La Nostra Famiglia — IRCCS Eugenio Medea</t>
  </si>
  <si>
    <t xml:space="preserve">Neurophysiology / rehabilitation</t>
  </si>
  <si>
    <t xml:space="preserve">Dr Paolo Bonanni</t>
  </si>
  <si>
    <t xml:space="preserve">REVEAL site; long-standing OR.S.A.-identified AS rehabilitation centre</t>
  </si>
  <si>
    <t xml:space="preserve">Verify</t>
  </si>
  <si>
    <t xml:space="preserve">Yes (AS multidisciplinary rehab pathway)</t>
  </si>
  <si>
    <t xml:space="preserve">Florence</t>
  </si>
  <si>
    <t xml:space="preserve">AOU Meyer IRCCS</t>
  </si>
  <si>
    <t xml:space="preserve">Neurologia pediatrica</t>
  </si>
  <si>
    <t xml:space="preserve">Aurora PI: Not publicly identified — verify locally</t>
  </si>
  <si>
    <t xml:space="preserve">Aurora (GTX-102) site</t>
  </si>
  <si>
    <t xml:space="preserve">Yes — competitor trial (Aurora)</t>
  </si>
  <si>
    <t xml:space="preserve">Verify (ERN EpiCARE/ITHACA)</t>
  </si>
  <si>
    <t xml:space="preserve">Competitor-trial site.</t>
  </si>
  <si>
    <t xml:space="preserve">IRCCS Istituto Auxologico Italiano</t>
  </si>
  <si>
    <t xml:space="preserve">Genetica clinica e Laboratorio di Biologia Molecolare</t>
  </si>
  <si>
    <t xml:space="preserve">Dr Silvia Russo</t>
  </si>
  <si>
    <t xml:space="preserve">OR.S.A. reference centre; AS molecular diagnostics</t>
  </si>
  <si>
    <t xml:space="preserve">Partial (diagnostic lab)</t>
  </si>
  <si>
    <t xml:space="preserve">Diagnostic reference lab.</t>
  </si>
  <si>
    <t xml:space="preserve">Como</t>
  </si>
  <si>
    <t xml:space="preserve">ASST Lariana — Ospedale Sant'Anna</t>
  </si>
  <si>
    <t xml:space="preserve">UOC Pediatria</t>
  </si>
  <si>
    <t xml:space="preserve">Dr Angelo Selicorni</t>
  </si>
  <si>
    <t xml:space="preserve">OR.S.A. reference centre (genetic syndromes)</t>
  </si>
  <si>
    <t xml:space="preserve">Partial</t>
  </si>
  <si>
    <t xml:space="preserve">Brescia</t>
  </si>
  <si>
    <t xml:space="preserve">ASST Spedali Civili di Brescia</t>
  </si>
  <si>
    <t xml:space="preserve">Neuropsichiatria Infantile</t>
  </si>
  <si>
    <t xml:space="preserve">Prof Elisa Fazzi</t>
  </si>
  <si>
    <t xml:space="preserve">OR.S.A. reference centre</t>
  </si>
  <si>
    <t xml:space="preserve">Novara</t>
  </si>
  <si>
    <t xml:space="preserve">AOU Maggiore della Carità</t>
  </si>
  <si>
    <t xml:space="preserve">Dr Maurizio Viri</t>
  </si>
  <si>
    <t xml:space="preserve">Ospedale Fatebenefratelli e Oftalmico</t>
  </si>
  <si>
    <t xml:space="preserve">Neurologia Pediatrica — CREI (Centro Regionale Epilettologia Infantile)</t>
  </si>
  <si>
    <t xml:space="preserve">Dr Antonino Romeo</t>
  </si>
  <si>
    <t xml:space="preserve">OR.S.A. reference centre (epilepsy)</t>
  </si>
  <si>
    <t xml:space="preserve">Alessandria</t>
  </si>
  <si>
    <t xml:space="preserve">Ospedale Infantile 'C. Arrigo'</t>
  </si>
  <si>
    <t xml:space="preserve">Dr Maurizio Cremonte</t>
  </si>
  <si>
    <t xml:space="preserve">Spain</t>
  </si>
  <si>
    <t xml:space="preserve">Sabadell</t>
  </si>
  <si>
    <t xml:space="preserve">Corporació Sanitària Parc Taulí — Hospital de Sabadell</t>
  </si>
  <si>
    <t xml:space="preserve">Unitat de Síndrome d'Angelman / Unitat de Malalties Minoritàries (XUEC)</t>
  </si>
  <si>
    <t xml:space="preserve">Dra Ana Roche Martínez (clinic head; TANGELO PI)</t>
  </si>
  <si>
    <t xml:space="preserve">First EU REVEAL site (Apr 2026); Aspire site; TANGELO PI and Nat Med 2025 co-author; ASF-recognised clinic (Mar 2025); ~140 AS patients</t>
  </si>
  <si>
    <t xml:space="preserve">Yes — disease; competitor trial (TANGELO Nat Med 2025; Aspire); ION582 trial site</t>
  </si>
  <si>
    <t xml:space="preserve">Coordinator (qualified — TANGELO national PI) / Site (REVEAL; Aspire)</t>
  </si>
  <si>
    <t xml:space="preserve">National analogue: XUEC (Catalan expert unit network) — ERN status verify</t>
  </si>
  <si>
    <t xml:space="preserve">Yes (ASF clinic; Angelman unit)</t>
  </si>
  <si>
    <t xml:space="preserve">Strongest Spanish anchor. Hosted first European AS workshop (2023).</t>
  </si>
  <si>
    <t xml:space="preserve">Esplugues de Llobregat (Barcelona)</t>
  </si>
  <si>
    <t xml:space="preserve">Hospital Sant Joan de Déu</t>
  </si>
  <si>
    <t xml:space="preserve">Neurologia pediàtrica</t>
  </si>
  <si>
    <t xml:space="preserve">Dra Mercedes Serrano</t>
  </si>
  <si>
    <t xml:space="preserve">REVEAL site; Aspire site; TANGELO Nat Med 2025 co-author</t>
  </si>
  <si>
    <t xml:space="preserve">Yes — competitor trial (TANGELO Nat Med 2025; Aspire); ION582 trial site</t>
  </si>
  <si>
    <t xml:space="preserve">Tier 1 candidate if ERN HCP status verified.</t>
  </si>
  <si>
    <t xml:space="preserve">Majadahonda (Madrid)</t>
  </si>
  <si>
    <t xml:space="preserve">Hospital Universitario Puerta de Hierro Majadahonda</t>
  </si>
  <si>
    <t xml:space="preserve">Unidad de Angelman (consulta monográfica since 2012) — Neuropediatría</t>
  </si>
  <si>
    <t xml:space="preserve">Dra Gemma Iglesias Escalera; Dr Julián Lara Herguedas; Dra María Lorenzo Ruiz; Dra Rosario Cazorla Calleja</t>
  </si>
  <si>
    <t xml:space="preserve">Aspire site; ~125 AS patients (~25% of Spain); FAST-funded biomarker/natural-history project (2024)</t>
  </si>
  <si>
    <t xml:space="preserve">Yes — competitor trial (Aspire)</t>
  </si>
  <si>
    <t xml:space="preserve">Site (Aspire)</t>
  </si>
  <si>
    <t xml:space="preserve">Yes (Unidad de Angelman)</t>
  </si>
  <si>
    <t xml:space="preserve">Seville</t>
  </si>
  <si>
    <t xml:space="preserve">Hospital Universitario Virgen del Rocío</t>
  </si>
  <si>
    <t xml:space="preserve">Neuropediatría</t>
  </si>
  <si>
    <t xml:space="preserve">Aspire PI: Not publicly identified — verify locally</t>
  </si>
  <si>
    <t xml:space="preserve">Aspire site</t>
  </si>
  <si>
    <t xml:space="preserve">Oxford</t>
  </si>
  <si>
    <t xml:space="preserve">Oxford University Hospitals NHS FT — John Radcliffe Hospital / University of Oxford</t>
  </si>
  <si>
    <t xml:space="preserve">STRONG (Specialised Translational Research Oxford Neuromuscular Group), Dept of Paediatrics</t>
  </si>
  <si>
    <t xml:space="preserve">Prof Laurent Servais (CI); Dr Usha Kini (PI); Dr Theodora Markati</t>
  </si>
  <si>
    <t xml:space="preserve">HALOS, REVEAL and Aurora site; UK AS Natural History Study (CI/PI)</t>
  </si>
  <si>
    <t xml:space="preserve">Yes — ION582 trial site; competitor trial (Aurora); natural history</t>
  </si>
  <si>
    <t xml:space="preserve">Coordinator (UK AS Natural History Study CI)</t>
  </si>
  <si>
    <t xml:space="preserve">N/A (post-Brexit) — national trial-unit designation</t>
  </si>
  <si>
    <t xml:space="preserve">Partial (natural-history programme)</t>
  </si>
  <si>
    <t xml:space="preserve">ION582 evidence partner in UK. Tier 1 via P3 coordinator + national analogue for P4.</t>
  </si>
  <si>
    <t xml:space="preserve">London</t>
  </si>
  <si>
    <t xml:space="preserve">Great Ormond Street Hospital for Children NHS FT</t>
  </si>
  <si>
    <t xml:space="preserve">Neurology / clinical trials</t>
  </si>
  <si>
    <t xml:space="preserve">REVEAL site</t>
  </si>
  <si>
    <t xml:space="preserve">N/A (post-Brexit)</t>
  </si>
  <si>
    <t xml:space="preserve">Manchester</t>
  </si>
  <si>
    <t xml:space="preserve">Manchester Centre for Genomic Medicine (MFT)</t>
  </si>
  <si>
    <t xml:space="preserve">Specialist Angelman Syndrome clinic</t>
  </si>
  <si>
    <t xml:space="preserve">Prof Jill Clayton-Smith; Dr Dan Hindley</t>
  </si>
  <si>
    <t xml:space="preserve">Consensus diagnostic-criteria contributor; AS clinic; ERN ITHACA coordinator role (per AngelmanUK — currency to verify)</t>
  </si>
  <si>
    <t xml:space="preserve">Qualified — consensus diagnostic criteria (pre-2021)</t>
  </si>
  <si>
    <t xml:space="preserve">Yes — disease (career AS research)</t>
  </si>
  <si>
    <t xml:space="preserve">Yes (specialist AS clinic)</t>
  </si>
  <si>
    <t xml:space="preserve">Diagnostic/clinical anchor; not on ION582 site lists.</t>
  </si>
  <si>
    <t xml:space="preserve">KOL</t>
  </si>
  <si>
    <t xml:space="preserve">Primary affiliation</t>
  </si>
  <si>
    <t xml:space="preserve">Role/Signal</t>
  </si>
  <si>
    <t xml:space="preserve">P1 guideline author</t>
  </si>
  <si>
    <t xml:space="preserve">P3 trial / registry role</t>
  </si>
  <si>
    <t xml:space="preserve">Key publications/datasets (P2)</t>
  </si>
  <si>
    <t xml:space="preserve">Presentation at international conferences</t>
  </si>
  <si>
    <t xml:space="preserve">Engagement priority</t>
  </si>
  <si>
    <t xml:space="preserve">KOL Tier for TOV (score G/P/T/A/S/Sp/Aw)</t>
  </si>
  <si>
    <t xml:space="preserve">Pr Nadia Bahi-Buisson</t>
  </si>
  <si>
    <t xml:space="preserve">Necker-Enfants Malades, Paris</t>
  </si>
  <si>
    <t xml:space="preserve">Médecin responsable, CRMR DI &amp; polyhandicaps (Necker site)</t>
  </si>
  <si>
    <t xml:space="preserve">Institution = HALOS/Aurora site (personal PI role unverified)</t>
  </si>
  <si>
    <t xml:space="preserve">Rett/DEE literature (AS-specific 5-y authorship — verify)</t>
  </si>
  <si>
    <t xml:space="preserve">Not verified</t>
  </si>
  <si>
    <t xml:space="preserve">TIER 2 — engage — verify HALOS PI</t>
  </si>
  <si>
    <t xml:space="preserve">Tier 2 (17: 1/3/1/5/3/3/1)</t>
  </si>
  <si>
    <t xml:space="preserve">Dr Delphine Héron</t>
  </si>
  <si>
    <t xml:space="preserve">Pitié-Salpêtrière (AP-HP Sorbonne)</t>
  </si>
  <si>
    <t xml:space="preserve">Coordinator, French PNDS Angelman (2021); CRMR DI coordinating centre</t>
  </si>
  <si>
    <t xml:space="preserve">Yes — national PNDS</t>
  </si>
  <si>
    <t xml:space="preserve">PNDS Angelman (HAS 2021)</t>
  </si>
  <si>
    <t xml:space="preserve">TIER 2 — engage — national anchor</t>
  </si>
  <si>
    <t xml:space="preserve">Tier 2 (17: 3/3/1/3/3/3/1)</t>
  </si>
  <si>
    <t xml:space="preserve">Pr Mathieu Milh</t>
  </si>
  <si>
    <t xml:space="preserve">Hôpital de la Timone (AP-HM), Marseille</t>
  </si>
  <si>
    <t xml:space="preserve">Chef de service, neurologie pédiatrique; CRMR épilepsies rares</t>
  </si>
  <si>
    <t xml:space="preserve">Institution = Aurora site (PI unverified)</t>
  </si>
  <si>
    <t xml:space="preserve">DEE/epilepsy literature</t>
  </si>
  <si>
    <t xml:space="preserve">TIER 2 — engage — competitor-trial site</t>
  </si>
  <si>
    <t xml:space="preserve">Dr Nathalie Villeneuve</t>
  </si>
  <si>
    <t xml:space="preserve">Neuropaediatrician, CRMR épilepsies rares (directory-sourced)</t>
  </si>
  <si>
    <t xml:space="preserve">TIER 3 — verify AS role</t>
  </si>
  <si>
    <t xml:space="preserve">Tier 3 (9: 1/1/1/3/1/1/1)</t>
  </si>
  <si>
    <t xml:space="preserve">Dr Béatrice Desnous</t>
  </si>
  <si>
    <t xml:space="preserve">Neuropaediatrician (directory-sourced)</t>
  </si>
  <si>
    <t xml:space="preserve">Prof Johannes R. Lemke</t>
  </si>
  <si>
    <t xml:space="preserve">Institute of Human Genetics; Center for Rare Diseases</t>
  </si>
  <si>
    <t xml:space="preserve">Institution = GTX-102 Ph1/2 &amp; Aspire site</t>
  </si>
  <si>
    <t xml:space="preserve">Manssen et al. Neuropediatrics 2025 (co-author); extensive DEE genetics</t>
  </si>
  <si>
    <t xml:space="preserve">TIER 2 — high value — competitor-trial site</t>
  </si>
  <si>
    <t xml:space="preserve">Tier 2 (19: 1/5/1/5/3/3/1)</t>
  </si>
  <si>
    <t xml:space="preserve">Dr Andreas Merkenschlager</t>
  </si>
  <si>
    <t xml:space="preserve">Division of Neuropaediatrics</t>
  </si>
  <si>
    <t xml:space="preserve">Manssen et al. 2025 (co-author)</t>
  </si>
  <si>
    <t xml:space="preserve">Tier 2 (13: 1/3/1/5/1/1/1)</t>
  </si>
  <si>
    <t xml:space="preserve">Dr Christine Makowski</t>
  </si>
  <si>
    <t xml:space="preserve">LMU Klinikum — Dr. von Hauner Children's Hospital</t>
  </si>
  <si>
    <t xml:space="preserve">Paediatric neurology / developmental medicine</t>
  </si>
  <si>
    <t xml:space="preserve">Institution = REVEAL &amp; Aspire site (PI unverified)</t>
  </si>
  <si>
    <t xml:space="preserve">Manssen et al. 2025 (senior author)</t>
  </si>
  <si>
    <t xml:space="preserve">TIER 2 — engage — verify REVEAL PI</t>
  </si>
  <si>
    <t xml:space="preserve">Tier 3 (11: 1/3/1/3/1/1/1)</t>
  </si>
  <si>
    <t xml:space="preserve">Prof Jonas Denecke</t>
  </si>
  <si>
    <t xml:space="preserve">UKE Hamburg</t>
  </si>
  <si>
    <t xml:space="preserve">Lead, Neuropaediatrics working group</t>
  </si>
  <si>
    <t xml:space="preserve">Institution = GTX-102 Ph1/2 &amp; Aspire site (PI unverified)</t>
  </si>
  <si>
    <t xml:space="preserve">Not verified (AS)</t>
  </si>
  <si>
    <t xml:space="preserve">TIER 3 — verify GTX-102 PI</t>
  </si>
  <si>
    <t xml:space="preserve">Dr Lena Manssen</t>
  </si>
  <si>
    <t xml:space="preserve">Paediatric neurology (corresponding author)</t>
  </si>
  <si>
    <t xml:space="preserve">Manssen et al. 2025 (first/corresponding)</t>
  </si>
  <si>
    <t xml:space="preserve">TIER 3 — engage — verify REVEAL role</t>
  </si>
  <si>
    <t xml:space="preserve">Tier 3 (9: 1/3/1/1/1/1/1)</t>
  </si>
  <si>
    <t xml:space="preserve">Dr Ilona Krey</t>
  </si>
  <si>
    <t xml:space="preserve">Institute of Human Genetics</t>
  </si>
  <si>
    <t xml:space="preserve">Manssen et al. 2025 (joint first author)</t>
  </si>
  <si>
    <t xml:space="preserve">TIER 3</t>
  </si>
  <si>
    <t xml:space="preserve">Dr Janina Gburek-Augustat</t>
  </si>
  <si>
    <t xml:space="preserve">Institution = GTX-102 site</t>
  </si>
  <si>
    <t xml:space="preserve">Dr Andrea Maier</t>
  </si>
  <si>
    <t xml:space="preserve">Uniklinik Aachen — MZEB</t>
  </si>
  <si>
    <t xml:space="preserve">Coordinator, Angelman Zentrum Aachen (adults)</t>
  </si>
  <si>
    <t xml:space="preserve">TIER 3 — adult-care voice</t>
  </si>
  <si>
    <t xml:space="preserve">Dr Heike Weigand</t>
  </si>
  <si>
    <t xml:space="preserve">LMU Klinikum — Dr. von Hauner</t>
  </si>
  <si>
    <t xml:space="preserve">Paediatric neurology</t>
  </si>
  <si>
    <t xml:space="preserve">Tier 3 (7: 1/1/1/1/1/1/1)</t>
  </si>
  <si>
    <t xml:space="preserve">Dr Cornelia von Hagen</t>
  </si>
  <si>
    <t xml:space="preserve">LMU / Kinderzentrum München (kbo)</t>
  </si>
  <si>
    <t xml:space="preserve">Social paediatrics</t>
  </si>
  <si>
    <t xml:space="preserve">Prof Roberta Battini</t>
  </si>
  <si>
    <t xml:space="preserve">IRCCS Stella Maris / AOU Pisana</t>
  </si>
  <si>
    <t xml:space="preserve">Director UO Neurologia dello Sviluppo; HALOS (ION582) PI</t>
  </si>
  <si>
    <t xml:space="preserve">National PI (HALOS); REVEAL site</t>
  </si>
  <si>
    <t xml:space="preserve">HALOS investigator (NCT05127226)</t>
  </si>
  <si>
    <t xml:space="preserve">TIER 1 — must-engage (ION582-specific)</t>
  </si>
  <si>
    <t xml:space="preserve">Tier 2 (21: 1/3/5/5/3/3/1)</t>
  </si>
  <si>
    <t xml:space="preserve">Dr Tiziana Granata</t>
  </si>
  <si>
    <t xml:space="preserve">Fondazione IRCCS Istituto Neurologico C. Besta</t>
  </si>
  <si>
    <t xml:space="preserve">Epileptology &amp; developmental neurology; AS centre contact</t>
  </si>
  <si>
    <t xml:space="preserve">Institution = REVEAL &amp; Aurora site (PI unverified)</t>
  </si>
  <si>
    <t xml:space="preserve">Paediatric epilepsy literature</t>
  </si>
  <si>
    <t xml:space="preserve">ASST Spedali Civili, Brescia</t>
  </si>
  <si>
    <t xml:space="preserve">Head, Child Neuropsychiatry</t>
  </si>
  <si>
    <t xml:space="preserve">TIER 2 — engage</t>
  </si>
  <si>
    <t xml:space="preserve">Prof Stefano Vicari</t>
  </si>
  <si>
    <t xml:space="preserve">Ospedale Pediatrico Bambino Gesù, Rome</t>
  </si>
  <si>
    <t xml:space="preserve">Head, Child &amp; Adolescent Neuropsychiatry</t>
  </si>
  <si>
    <t xml:space="preserve">Institution = REVEAL site (PI unverified)</t>
  </si>
  <si>
    <t xml:space="preserve">TIER 2 — verify AS role</t>
  </si>
  <si>
    <t xml:space="preserve">IRCCS E. Medea — La Nostra Famiglia, Conegliano</t>
  </si>
  <si>
    <t xml:space="preserve">AS multidisciplinary/rehab lead (OR.S.A.)</t>
  </si>
  <si>
    <t xml:space="preserve">AS EEG/rehab (verify 5-y output)</t>
  </si>
  <si>
    <t xml:space="preserve">Tier 2 (15: 1/3/1/3/3/3/1)</t>
  </si>
  <si>
    <t xml:space="preserve">Dr Giovanna Zorzi</t>
  </si>
  <si>
    <t xml:space="preserve">Director, Dept of Paediatric Neurosciences</t>
  </si>
  <si>
    <t xml:space="preserve">Institution = REVEAL &amp; Aurora site</t>
  </si>
  <si>
    <t xml:space="preserve">Movement-disorder literature</t>
  </si>
  <si>
    <t xml:space="preserve">ASST Lariana, Como</t>
  </si>
  <si>
    <t xml:space="preserve">Paediatrics; genetic syndromes (OR.S.A. centre)</t>
  </si>
  <si>
    <t xml:space="preserve">Tier 2 (13: 1/3/1/3/1/3/1)</t>
  </si>
  <si>
    <t xml:space="preserve">Dr Chiara Pantaleoni</t>
  </si>
  <si>
    <t xml:space="preserve">Developmental neurology; national AS centre contact</t>
  </si>
  <si>
    <t xml:space="preserve">IRCCS Istituto Auxologico Italiano, Milan</t>
  </si>
  <si>
    <t xml:space="preserve">Molecular genetics; AS diagnostics</t>
  </si>
  <si>
    <t xml:space="preserve">TIER 3 — diagnostics</t>
  </si>
  <si>
    <t xml:space="preserve">AOU Maggiore della Carità, Novara</t>
  </si>
  <si>
    <t xml:space="preserve">Child Neuropsychiatry</t>
  </si>
  <si>
    <t xml:space="preserve">Fatebenefratelli — CREI, Milan</t>
  </si>
  <si>
    <t xml:space="preserve">Paediatric epilepsy centre</t>
  </si>
  <si>
    <t xml:space="preserve">Ospedale Infantile C. Arrigo, Alessandria</t>
  </si>
  <si>
    <t xml:space="preserve">Hospital Sant Joan de Déu, Barcelona</t>
  </si>
  <si>
    <t xml:space="preserve">Paediatric neurology; TANGELO author</t>
  </si>
  <si>
    <t xml:space="preserve">Institution = REVEAL &amp; Aspire site</t>
  </si>
  <si>
    <t xml:space="preserve">Hipp et al. Nat Med 2025 (TANGELO, rugonersen) co-author</t>
  </si>
  <si>
    <t xml:space="preserve">TIER 2 — high value — competitor-trial PI</t>
  </si>
  <si>
    <t xml:space="preserve">Tier 2 (21: 1/5/5/3/3/3/1)</t>
  </si>
  <si>
    <t xml:space="preserve">Dra Ana Roche Martínez</t>
  </si>
  <si>
    <t xml:space="preserve">Parc Taulí, Sabadell</t>
  </si>
  <si>
    <t xml:space="preserve">Head, ASF Angelman clinic; TANGELO PI</t>
  </si>
  <si>
    <t xml:space="preserve">National PI (TANGELO); REVEAL &amp; Aspire site</t>
  </si>
  <si>
    <t xml:space="preserve">Hipp et al. Nat Med 2025 co-author</t>
  </si>
  <si>
    <t xml:space="preserve">TIER 1 — must-engage — competitor-trial PI</t>
  </si>
  <si>
    <t xml:space="preserve">Tier 2 (17: 1/3/5/3/1/3/1)</t>
  </si>
  <si>
    <t xml:space="preserve">Dra Enriqueta Román Riechmann</t>
  </si>
  <si>
    <t xml:space="preserve">H.U. Puerta de Hierro</t>
  </si>
  <si>
    <t xml:space="preserve">Head of Paediatrics; FAST España scientific committee</t>
  </si>
  <si>
    <t xml:space="preserve">Institution = Aspire site</t>
  </si>
  <si>
    <t xml:space="preserve">Dra Belén Ruiz Antorán</t>
  </si>
  <si>
    <t xml:space="preserve">Clinical pharmacology; AS biomarker project lead group</t>
  </si>
  <si>
    <t xml:space="preserve">FAST-funded biomarker/natural-history project (2024)</t>
  </si>
  <si>
    <t xml:space="preserve">TIER 3 — RWE/biomarker voice</t>
  </si>
  <si>
    <t xml:space="preserve">Dra Gemma Iglesias Escalera</t>
  </si>
  <si>
    <t xml:space="preserve">Neuropaediatrician, Unidad de Angelman</t>
  </si>
  <si>
    <t xml:space="preserve">Dr Julián Lara Herguedas</t>
  </si>
  <si>
    <t xml:space="preserve">Dra María Lorenzo Ruiz</t>
  </si>
  <si>
    <t xml:space="preserve">Dra Rosario Cazorla Calleja</t>
  </si>
  <si>
    <t xml:space="preserve">Dr Luis Fernando López Pájaro</t>
  </si>
  <si>
    <t xml:space="preserve">Neurophysiologist (AS EEG)</t>
  </si>
  <si>
    <t xml:space="preserve">TIER 3 — EEG biomarker voice</t>
  </si>
  <si>
    <t xml:space="preserve">Dra Sabela Novo Ponte</t>
  </si>
  <si>
    <t xml:space="preserve">Neurologist (adult AS)</t>
  </si>
  <si>
    <t xml:space="preserve">Dra Neus Baena</t>
  </si>
  <si>
    <t xml:space="preserve">Laboratory/genetics unit (FAST España committee)</t>
  </si>
  <si>
    <t xml:space="preserve">Dra Elisabeth Gabau</t>
  </si>
  <si>
    <t xml:space="preserve">Founding clinician, genetic cognitive-behavioural disorders</t>
  </si>
  <si>
    <t xml:space="preserve">TIER 3 — verify current role</t>
  </si>
  <si>
    <t xml:space="preserve">Prof Laurent Servais</t>
  </si>
  <si>
    <t xml:space="preserve">University of Oxford / OUH</t>
  </si>
  <si>
    <t xml:space="preserve">Prof of Paediatric Neuromuscular Diseases; CI UK AS Natural History Study</t>
  </si>
  <si>
    <t xml:space="preserve">Coordinator (NHS CI); institution = HALOS/REVEAL/Aurora site</t>
  </si>
  <si>
    <t xml:space="preserve">AS natural-history study; neuromuscular trial literature</t>
  </si>
  <si>
    <t xml:space="preserve">TIER 1 — must-engage (ION582-specific site)</t>
  </si>
  <si>
    <t xml:space="preserve">Tier 2 (23: 1/3/5/5/3/5/1)</t>
  </si>
  <si>
    <t xml:space="preserve">Prof Jill Clayton-Smith</t>
  </si>
  <si>
    <t xml:space="preserve">Manchester Centre for Genomic Medicine</t>
  </si>
  <si>
    <t xml:space="preserve">Prof Clinical Genetics; AS clinic; consensus diagnostic criteria contributor</t>
  </si>
  <si>
    <t xml:space="preserve">Qualified — diagnostic criteria (pre-2021)</t>
  </si>
  <si>
    <t xml:space="preserve">Career AS research (first UPD AS cases)</t>
  </si>
  <si>
    <t xml:space="preserve">TIER 2 — high value — national anchor</t>
  </si>
  <si>
    <t xml:space="preserve">Tier 2 (21: 3/3/1/5/5/3/1)</t>
  </si>
  <si>
    <t xml:space="preserve">Dr Usha Kini</t>
  </si>
  <si>
    <t xml:space="preserve">Oxford University Hospitals NHS FT</t>
  </si>
  <si>
    <t xml:space="preserve">Consultant Clinical Geneticist; PI UK AS Natural History Study</t>
  </si>
  <si>
    <t xml:space="preserve">PI (NHS)</t>
  </si>
  <si>
    <t xml:space="preserve">Not verified (5-y AS pubs)</t>
  </si>
  <si>
    <t xml:space="preserve">Tier 2 (13: 1/3/3/3/1/1/1)</t>
  </si>
  <si>
    <t xml:space="preserve">Dr Theodora Markati</t>
  </si>
  <si>
    <t xml:space="preserve">University of Oxford</t>
  </si>
  <si>
    <t xml:space="preserve">Researcher, UK AS Natural History Study</t>
  </si>
  <si>
    <t xml:space="preserve">Investigator (NHS)</t>
  </si>
  <si>
    <t xml:space="preserve">AngelmanUK/FAST UK community webinar (2022)</t>
  </si>
  <si>
    <t xml:space="preserve">Tier 3 (11: 1/3/3/1/1/1/1)</t>
  </si>
  <si>
    <t xml:space="preserve">Dr Dan Hindley</t>
  </si>
  <si>
    <t xml:space="preserve">Co-lead, specialist AS clinic</t>
  </si>
  <si>
    <t xml:space="preserve">Centres × Country × Tier</t>
  </si>
  <si>
    <t xml:space="preserve">Tier 1</t>
  </si>
  <si>
    <t xml:space="preserve">Tier 2</t>
  </si>
  <si>
    <t xml:space="preserve">Tier 3</t>
  </si>
  <si>
    <t xml:space="preserve">Tier 4</t>
  </si>
  <si>
    <t xml:space="preserve">Total enumerated</t>
  </si>
  <si>
    <t xml:space="preserve">No Tier 1: Necker (HALOS) and Pitié (PNDS) split the P3/P1 signals.</t>
  </si>
  <si>
    <t xml:space="preserve">No Tier 1: LMU (first EU REVEAL site) is the anchor candidate.</t>
  </si>
  <si>
    <t xml:space="preserve">Pisa = ION582 HALOS anchor; dense OR.S.A. Tier 3 network.</t>
  </si>
  <si>
    <t xml:space="preserve">Parc Taulí anchor; 3 of 4 sites ran Aspire (competitor).</t>
  </si>
  <si>
    <t xml:space="preserve">Oxford anchor (HALOS/REVEAL/NHS); P4 N/A post-Brexit.</t>
  </si>
  <si>
    <t xml:space="preserve">TOTAL</t>
  </si>
  <si>
    <t xml:space="preserve">KOLs × Country × Tier</t>
  </si>
  <si>
    <t xml:space="preserve">Below 15-KOL minimum; HALOS PI unnamed.</t>
  </si>
  <si>
    <t xml:space="preserve">Mostly review co-authors; trial PIs unnamed.</t>
  </si>
  <si>
    <t xml:space="preserve">Battini is the ION582 apex KOL.</t>
  </si>
  <si>
    <t xml:space="preserve">Two TANGELO (competitor) authors.</t>
  </si>
  <si>
    <t xml:space="preserve">Below minimum; GOSH PI unnamed.</t>
  </si>
  <si>
    <t xml:space="preserve">Cross-cuts</t>
  </si>
  <si>
    <t xml:space="preserve">Measure</t>
  </si>
  <si>
    <t xml:space="preserve">Count</t>
  </si>
  <si>
    <t xml:space="preserve">Centres — hosting a P1 guideline author (incl. qualified)</t>
  </si>
  <si>
    <t xml:space="preserve">Centres — P2 disease/trial publication or trial authorship</t>
  </si>
  <si>
    <t xml:space="preserve">Centres — P2 ION582 trial involvement</t>
  </si>
  <si>
    <t xml:space="preserve">Centres — P2 competitor-trial involvement</t>
  </si>
  <si>
    <t xml:space="preserve">Centres — P3 coordinator role</t>
  </si>
  <si>
    <t xml:space="preserve">Centres — listed as P3 sites</t>
  </si>
  <si>
    <t xml:space="preserve">Centres — P4 HCP / national analogue confirmed</t>
  </si>
  <si>
    <t xml:space="preserve">Centres — explicit P5 AS programme</t>
  </si>
  <si>
    <t xml:space="preserve">KOLs — guideline authorship (incl. qualified)</t>
  </si>
  <si>
    <t xml:space="preserve">KOLs — clinical-trial publications / roles</t>
  </si>
  <si>
    <t xml:space="preserve">KOLs — disease publications (verified)</t>
  </si>
  <si>
    <t xml:space="preserve">KOLs — international presentations (verified)</t>
  </si>
  <si>
    <t xml:space="preserve">Domain</t>
  </si>
  <si>
    <t xml:space="preserve">Capability</t>
  </si>
  <si>
    <t xml:space="preserve">Minimum requirement</t>
  </si>
  <si>
    <t xml:space="preserve">Typical Tier 1-2 coverage</t>
  </si>
  <si>
    <t xml:space="preserve">Notes / failure modes</t>
  </si>
  <si>
    <t xml:space="preserve">Diagnostics</t>
  </si>
  <si>
    <t xml:space="preserve">Molecular confirmation</t>
  </si>
  <si>
    <t xml:space="preserve">Methylation analysis (MS-MLPA) then UBE3A sequencing; genotype class (deletion / UBE3A mutation / UPD / ICD) documented</t>
  </si>
  <si>
    <t xml:space="preserve">Universal via genetics departments</t>
  </si>
  <si>
    <t xml:space="preserve">ION582 REVEAL enrols deletion or UBE3A-mutation only — UPD/ICD patients excluded, so genotype must be on file.</t>
  </si>
  <si>
    <t xml:space="preserve">EEG</t>
  </si>
  <si>
    <t xml:space="preserve">Routine and sleep EEG with AS-pattern recognition; delta-power quantification capability for biomarker work</t>
  </si>
  <si>
    <t xml:space="preserve">Tier 1–2 neurophysiology</t>
  </si>
  <si>
    <t xml:space="preserve">EEG delta power is the leading pharmacodynamic biomarker across UBE3A-ASO programmes (TANGELO).</t>
  </si>
  <si>
    <t xml:space="preserve">Severity assessment</t>
  </si>
  <si>
    <t xml:space="preserve">Developmental / outcome measures</t>
  </si>
  <si>
    <t xml:space="preserve">Bayley-4 (expressive communication, cognition), Vineland, CGI-AS administered by trained raters</t>
  </si>
  <si>
    <t xml:space="preserve">Trial sites (HALOS/REVEAL/Aspire/TANGELO)</t>
  </si>
  <si>
    <t xml:space="preserve">REVEAL primary endpoint is Bayley-4 expressive communication; rater training is a site-readiness gate.</t>
  </si>
  <si>
    <t xml:space="preserve">Treatment (SoC)</t>
  </si>
  <si>
    <t xml:space="preserve">Multidisciplinary symptomatic care</t>
  </si>
  <si>
    <t xml:space="preserve">Neurology/epilepsy, sleep, GI/nutrition, orthopaedics, ophthalmology, AAC/communication, behaviour — per Duis 2022 / French PNDS</t>
  </si>
  <si>
    <t xml:space="preserve">Strong at Parc Taulí, Puerta de Hierro, Manchester, Necker</t>
  </si>
  <si>
    <t xml:space="preserve">Seizure control and anaesthesia safety are pre-requisites for intrathecal dosing.</t>
  </si>
  <si>
    <t xml:space="preserve">Treatment — DIFFERENTIATING</t>
  </si>
  <si>
    <t xml:space="preserve">Intrathecal administration</t>
  </si>
  <si>
    <t xml:space="preserve">Repeat lumbar puncture under sedation/anaesthesia without intubation; paediatric anaesthesia; day-case capacity</t>
  </si>
  <si>
    <t xml:space="preserve">All ASO trial sites; NOT typical at Tier 3</t>
  </si>
  <si>
    <t xml:space="preserve">THE key infrastructure gate for ION582 launch. Tier 3 OR.S.A./directory centres likely need hub-and-spoke referral.</t>
  </si>
  <si>
    <t xml:space="preserve">Rehabilitation / chronic</t>
  </si>
  <si>
    <t xml:space="preserve">Lifelong therapy &amp; adult transition</t>
  </si>
  <si>
    <t xml:space="preserve">Physio, OT, AAC; adult services</t>
  </si>
  <si>
    <t xml:space="preserve">Weak for adults (Aachen MZEB, Puerta de Hierro adult neurology, Oxford adult cohort)</t>
  </si>
  <si>
    <t xml:space="preserve">REVEAL Cohort 2 (18–50 y) needs adult-capable sites.</t>
  </si>
  <si>
    <t xml:space="preserve">Future-state (a)</t>
  </si>
  <si>
    <t xml:space="preserve">ION582 administration capability</t>
  </si>
  <si>
    <t xml:space="preserve">IT bolus delivery + monitoring per label (dose/interval to confirm at approval)</t>
  </si>
  <si>
    <t xml:space="preserve">Existing HALOS/REVEAL sites: Oxford, GOSH, Necker, Pisa, Besta, OPBG, Medea, LMU, Parc Taulí, SJD</t>
  </si>
  <si>
    <t xml:space="preserve">Asset overlay: ION582's addressable base extends beyond its own trial sites to competitor ASO sites (Aspire/Aurora/TANGELO) that already hold IT-dosing, Bayley rating and EEG infrastructure — Aspire's failure (Sep 2026) makes these sites displaceable.</t>
  </si>
  <si>
    <t xml:space="preserve">Future-state (b)</t>
  </si>
  <si>
    <t xml:space="preserve">RWE / registry participation</t>
  </si>
  <si>
    <t xml:space="preserve">Contribution to natural-history datasets (UK NHS, ASF International Clinic Network/LADDER, Global AS Registry)</t>
  </si>
  <si>
    <t xml:space="preserve">Oxford, Parc Taulí, Puerta de Hierro</t>
  </si>
  <si>
    <t xml:space="preserve">No pan-EU clinical AS registry yet; ASF/Erasmus network is the emerging vehicle.</t>
  </si>
  <si>
    <t xml:space="preserve">Authoritative source</t>
  </si>
  <si>
    <t xml:space="preserve">URL / reference</t>
  </si>
  <si>
    <t xml:space="preserve">What it provides</t>
  </si>
  <si>
    <t xml:space="preserve">P1 — International AS standards of care (Duis et al. 2022)</t>
  </si>
  <si>
    <t xml:space="preserve">https://doi.org/10.1002/mgg3.1843</t>
  </si>
  <si>
    <t xml:space="preserve">Consensus SoC; PMID 35150089; author list (no EU4+UK authors)</t>
  </si>
  <si>
    <t xml:space="preserve">P1 — Europe PMC record (Duis et al.)</t>
  </si>
  <si>
    <t xml:space="preserve">https://europepmc.org/articles/PMC8922964/</t>
  </si>
  <si>
    <t xml:space="preserve">Author affiliations</t>
  </si>
  <si>
    <t xml:space="preserve">P1 — France PNDS Syndrome d'Angelman (HAS, 2021)</t>
  </si>
  <si>
    <t xml:space="preserve">https://www.has-sante.fr/jcms/p_3300847/fr/syndrome-d-angelman</t>
  </si>
  <si>
    <t xml:space="preserve">National protocol; coordinated by Dr D. Héron</t>
  </si>
  <si>
    <t xml:space="preserve">P1 — PNDS argumentaire (HAS PDF)</t>
  </si>
  <si>
    <t xml:space="preserve">https://www.has-sante.fr/upload/docs/application/pdf/2021-11/argumentaire_pnds_angelman_vf.pdf</t>
  </si>
  <si>
    <t xml:space="preserve">Coordinator / CRMR attribution</t>
  </si>
  <si>
    <t xml:space="preserve">P2 — TANGELO rugonersen Ph1 (Hipp et al., Nat Med 2025)</t>
  </si>
  <si>
    <t xml:space="preserve">https://www.nature.com/articles/s41591-025-03784-7</t>
  </si>
  <si>
    <t xml:space="preserve">DOI 10.1038/s41591-025-03784-7; PMID 40646322; NCT04428281</t>
  </si>
  <si>
    <t xml:space="preserve">P2 — TANGELO author list</t>
  </si>
  <si>
    <t xml:space="preserve">https://www.baylorgenetics.com/publication/the-ube3a-ats-antisense-oligonucleotide-rugonersen-in-children-with-angelman-syndrome-a-phase-1-trial/</t>
  </si>
  <si>
    <t xml:space="preserve">Roche Martínez, Serrano co-authors</t>
  </si>
  <si>
    <t xml:space="preserve">P2 — Manssen et al., Precision Medicine in AS (Neuropediatrics 2025)</t>
  </si>
  <si>
    <t xml:space="preserve">https://www.thieme-connect.com/products/ejournals/pdf/10.1055/a-2399-0191.pdf</t>
  </si>
  <si>
    <t xml:space="preserve">LMU / Leipzig author cohort</t>
  </si>
  <si>
    <t xml:space="preserve">P2/P3 — HALOS NCT05127226</t>
  </si>
  <si>
    <t xml:space="preserve">https://clinicaltrials.gov/study/NCT05127226</t>
  </si>
  <si>
    <t xml:space="preserve">ION582 Ph1/2; EU4+UK sites: Necker, Pisa, Oxford</t>
  </si>
  <si>
    <t xml:space="preserve">P2/P3 — HALOS site list (ICH GCP mirror)</t>
  </si>
  <si>
    <t xml:space="preserve">https://ichgcp.net/clinical-trials-registry/NCT05127226</t>
  </si>
  <si>
    <t xml:space="preserve">Site names</t>
  </si>
  <si>
    <t xml:space="preserve">P2/P3 — REVEAL NCT06914609</t>
  </si>
  <si>
    <t xml:space="preserve">https://clinicaltrials.gov/study/NCT06914609</t>
  </si>
  <si>
    <t xml:space="preserve">ION582 Ph3; 80 mg vs control</t>
  </si>
  <si>
    <t xml:space="preserve">P3 — REVEAL site list (eichor mirror)</t>
  </si>
  <si>
    <t xml:space="preserve">https://eichor.com/study/NCT06914609</t>
  </si>
  <si>
    <t xml:space="preserve">EU4+UK REVEAL sites</t>
  </si>
  <si>
    <t xml:space="preserve">P3 — Ionis letter: first EU REVEAL sites (Apr 2026)</t>
  </si>
  <si>
    <t xml:space="preserve">https://angelman.org/wp-content/uploads/2026/04/Ionis-REVEAL-sites-EU_community-letter.pdf</t>
  </si>
  <si>
    <t xml:space="preserve">LMU Munich &amp; Parc Taulí; EU sham = skin prick</t>
  </si>
  <si>
    <t xml:space="preserve">P3 — Ionis letter: REVEAL Cohort 1 enrolled (Jul 2026)</t>
  </si>
  <si>
    <t xml:space="preserve">https://angelman.org/wp-content/uploads/2026/07/Ionis-update-REVEAL-July2026.pdf</t>
  </si>
  <si>
    <t xml:space="preserve">Readout H2 2027</t>
  </si>
  <si>
    <t xml:space="preserve">P3 — Ionis letter: REVEAL Italy sites (May 2026)</t>
  </si>
  <si>
    <t xml:space="preserve">https://sindromediangelman.org/wp-content/uploads/2026/05/PA-IT-AS-260001-Community-Statement-REVEAL-Opens-in-Italy-052626.pdf</t>
  </si>
  <si>
    <t xml:space="preserve">Besta, Pisa, Bambino Gesù</t>
  </si>
  <si>
    <t xml:space="preserve">P2/P3 — Aspire NCT06617429 (GTX-102 Ph3)</t>
  </si>
  <si>
    <t xml:space="preserve">https://clinicaltrials.gov/study/NCT06617429</t>
  </si>
  <si>
    <t xml:space="preserve">Competitor site list (DE, ES)</t>
  </si>
  <si>
    <t xml:space="preserve">P2/P3 — Aspire site list (ICH GCP mirror)</t>
  </si>
  <si>
    <t xml:space="preserve">https://ichgcp.net/clinical-trials-registry/NCT06617429</t>
  </si>
  <si>
    <t xml:space="preserve">Competitor — Ultragenyx Aspire topline (2 Sep 2026)</t>
  </si>
  <si>
    <t xml:space="preserve">https://ir.ultragenyx.com/news-releases/news-release-details/ultragenyx-announces-phase-3-aspire-results-angelman-syndrome</t>
  </si>
  <si>
    <t xml:space="preserve">Missed primary &amp; key secondary endpoints</t>
  </si>
  <si>
    <t xml:space="preserve">P3 — Aurora NCT07157254 (GTX-102 Ph2)</t>
  </si>
  <si>
    <t xml:space="preserve">https://ichgcp.net/clinical-trials-registry/NCT07157254</t>
  </si>
  <si>
    <t xml:space="preserve">Competitor sites FR, IT, UK</t>
  </si>
  <si>
    <t xml:space="preserve">P3 — GTX-102 Ph1/2 NCT04259281</t>
  </si>
  <si>
    <t xml:space="preserve">https://ichgcp.net/de/clinical-trials-registry/NCT04259281</t>
  </si>
  <si>
    <t xml:space="preserve">Hamburg &amp; Leipzig sites</t>
  </si>
  <si>
    <t xml:space="preserve">Competitor — Oak Hill Bio rugonersen publication / Ph3 plan</t>
  </si>
  <si>
    <t xml:space="preserve">https://www.oakhillbio.com/news/oak-hill-bio-announces-publication-of-rugonersen-phase-1-study-results-in-nature-medicine</t>
  </si>
  <si>
    <t xml:space="preserve">Rights from Roche; Ph3 planned</t>
  </si>
  <si>
    <t xml:space="preserve">Competitor — BEACON rugonersen Ph3 NCT07605429</t>
  </si>
  <si>
    <t xml:space="preserve">https://clinicaltrials.gov/study/NCT07605429</t>
  </si>
  <si>
    <t xml:space="preserve">Registry record</t>
  </si>
  <si>
    <t xml:space="preserve">P3 — UK AS Natural History Study (FAST UK)</t>
  </si>
  <si>
    <t xml:space="preserve">https://cureangelman.org.uk/our-work/oxford-natural-history-study/</t>
  </si>
  <si>
    <t xml:space="preserve">CI Servais; PI Kini</t>
  </si>
  <si>
    <t xml:space="preserve">P3 — Pisa HALOS press (AboutPharma, Nov 2023)</t>
  </si>
  <si>
    <t xml:space="preserve">https://www.aboutpharma.com/scienza-ricerca/malattie-rare-sindrome-di-angelman-a-pisa-primi-test-al-mondo-per-valutare-sicurezza-di-un-nucleotide-antinsenso/</t>
  </si>
  <si>
    <t xml:space="preserve">Battini PI; only Italian site</t>
  </si>
  <si>
    <t xml:space="preserve">P4 — Necker CRMR DI &amp; polyhandicap (ERN ITHACA)</t>
  </si>
  <si>
    <t xml:space="preserve">https://maladiesrares-necker.aphp.fr/defisciences-rett/</t>
  </si>
  <si>
    <t xml:space="preserve">Bahi-Buisson; ERN ITHACA affiliation</t>
  </si>
  <si>
    <t xml:space="preserve">P4/P5 — AP-HM Timone neuropaediatrics</t>
  </si>
  <si>
    <t xml:space="preserve">https://fr.ap-hm.fr/service/neurologie-pediatrique-hopital-timone</t>
  </si>
  <si>
    <t xml:space="preserve">CRMR list; staff directory</t>
  </si>
  <si>
    <t xml:space="preserve">P4/P5 — Parc Taulí ASF clinic recognition (Mar 2025)</t>
  </si>
  <si>
    <t xml:space="preserve">https://www.tauli.cat/es/actualitat/noticia/2025/03/el-parc-tauli-primer-centre-assistencial-a-lestat-reconegut-internacionalment-com-a-hospital-expert-en-labordatge-de-la-sindrome-dangelman/</t>
  </si>
  <si>
    <t xml:space="preserve">XUEC; ~140 patients</t>
  </si>
  <si>
    <t xml:space="preserve">P5 — ASF clinic: Parc Taulí</t>
  </si>
  <si>
    <t xml:space="preserve">https://angelman.org/asf-clinics/parc-tauli/</t>
  </si>
  <si>
    <t xml:space="preserve">Clinic head Dr Ana Roche</t>
  </si>
  <si>
    <t xml:space="preserve">P5 — FAST España scientific committee</t>
  </si>
  <si>
    <t xml:space="preserve">https://cureangelman.es/comite-cientifico</t>
  </si>
  <si>
    <t xml:space="preserve">Puerta de Hierro &amp; Parc Taulí named team; Roche = TANGELO PI</t>
  </si>
  <si>
    <t xml:space="preserve">P5 — Puerta de Hierro Angelman unit (Dec 2024)</t>
  </si>
  <si>
    <t xml:space="preserve">https://noticias.madrid/beca-de-investigacion-impulsa-avances-en-el-estudio-de-la-enfermedad-de-angelman-en-el-hospital-puerta-de-hierro/</t>
  </si>
  <si>
    <t xml:space="preserve">125 patients; biomarker project</t>
  </si>
  <si>
    <t xml:space="preserve">P5 — Orphanet: Angelman Zentrum Aachen</t>
  </si>
  <si>
    <t xml:space="preserve">https://www.orpha.net/en/expert-centres/centre/692003?name=Angelman%20syndrome&amp;consulting=medical&amp;age=all&amp;official=0</t>
  </si>
  <si>
    <t xml:space="preserve">P5 — OR.S.A. Italian reference centres</t>
  </si>
  <si>
    <t xml:space="preserve">https://sindromediangelman.org/centri-sintrome-di-angelman/</t>
  </si>
  <si>
    <t xml:space="preserve">Tier 3 Italian centres &amp; leads</t>
  </si>
  <si>
    <t xml:space="preserve">P4 — Italy national centre listing (Besta)</t>
  </si>
  <si>
    <t xml:space="preserve">https://www.malattierare.gov.it/centri_cura/per_malattia/49/130</t>
  </si>
  <si>
    <t xml:space="preserve">Pantaleoni, Granata</t>
  </si>
  <si>
    <t xml:space="preserve">P5 — AngelmanUK experts (Manchester AS clinic)</t>
  </si>
  <si>
    <t xml:space="preserve">https://www.angelmanuk.org/about/experts/</t>
  </si>
  <si>
    <t xml:space="preserve">Clayton-Smith, Hindley</t>
  </si>
  <si>
    <t xml:space="preserve">UKE Hamburg neuropaediatrics team</t>
  </si>
  <si>
    <t xml:space="preserve">https://www.uke.de/kliniken-institute/kliniken/kinder-und-jugendmedizin/forschung/klinische-forschung/neurop%C3%A4diatrie.html</t>
  </si>
  <si>
    <t xml:space="preserve">Denecke</t>
  </si>
  <si>
    <t xml:space="preserve">ASF International Clinic Network (Jan 2026)</t>
  </si>
  <si>
    <t xml:space="preserve">https://angelman.org/news-blog/international-clinic-network/</t>
  </si>
  <si>
    <t xml:space="preserve">Erasmus-led EU network build-out</t>
  </si>
  <si>
    <t xml:space="preserve">Originator — ASF ION582 pipeline summary</t>
  </si>
  <si>
    <t xml:space="preserve">https://angelman.org/clinical-trials/</t>
  </si>
  <si>
    <t xml:space="preserve">HALOS outcome summary; FDA Breakthrough 2025</t>
  </si>
  <si>
    <t xml:space="preserve">Diagnostics — AS methylation/UBE3A testing (DE lab)</t>
  </si>
  <si>
    <t xml:space="preserve">https://dna-diagnostik.hamburg/analysespektrum/angelman-syndrom/</t>
  </si>
  <si>
    <t xml:space="preserve">MS-MLPA → UBE3A sequencing</t>
  </si>
  <si>
    <t xml:space="preserve">CAVEATS</t>
  </si>
  <si>
    <t xml:space="preserve">Coverage</t>
  </si>
  <si>
    <t xml:space="preserve">Registry mirrors list institutions, not PIs; PI attribution is via publications, press releases and patient-organisation pages.</t>
  </si>
  <si>
    <t xml:space="preserve">Geography gaps</t>
  </si>
  <si>
    <t xml:space="preserve">UK post-Brexit (P4 N/A); no AS national guideline in DE/IT/ES/UK; German Tier 1 absent.</t>
  </si>
  <si>
    <t xml:space="preserve">KOL movement</t>
  </si>
  <si>
    <t xml:space="preserve">Affiliations change frequently — re-verify before engagement.</t>
  </si>
  <si>
    <t xml:space="preserve">Gap-fill disclosure</t>
  </si>
  <si>
    <t xml:space="preserve">Directory-sourced names (e.g. Timone staff) carry no verified AS signal and are Tier 3 by default.</t>
  </si>
  <si>
    <t xml:space="preserve">Not enumerated — not requested; AS care concentrates at expert centres.</t>
  </si>
  <si>
    <t xml:space="preserve">Trial-readiness checklist</t>
  </si>
  <si>
    <t xml:space="preserve">IT dosing under sedation · Bayley-4 raters · EEG · genotype on file · adult services (Cohort 2).</t>
  </si>
  <si>
    <t xml:space="preserve">Asset-specific signal</t>
  </si>
  <si>
    <t xml:space="preserve">ION582 evidence partners: Battini (Pisa), Oxford STRONG (Servais/Kini), Necker, LMU, Parc Taulí. No public named European endorsers of ION582 identified.</t>
  </si>
  <si>
    <t xml:space="preserve">Competitor context</t>
  </si>
  <si>
    <t xml:space="preserve">Apazunersen Aspire failed (Sep 2026); rugonersen (Oak Hill Bio) Ph3 BEACON registered; TANGELO EU authors (Roche Martínez, Serrano) are competitor-programme investigators.</t>
  </si>
  <si>
    <t xml:space="preserve">#</t>
  </si>
  <si>
    <t xml:space="preserve">Sheet</t>
  </si>
  <si>
    <t xml:space="preserve">Cell(s)</t>
  </si>
  <si>
    <t xml:space="preserve">Item</t>
  </si>
  <si>
    <t xml:space="preserve">Finding</t>
  </si>
  <si>
    <t xml:space="preserve">Recommended correction</t>
  </si>
  <si>
    <t xml:space="preserve">Verdict</t>
  </si>
  <si>
    <t xml:space="preserve">B (Pisa, Parc Taulí, Oxford)</t>
  </si>
  <si>
    <t xml:space="preserve">Tier 1 assignment</t>
  </si>
  <si>
    <t xml:space="preserve">No EU4+UK centre meets the strict P1 criterion (no national guideline in IT/ES/UK; Duis 2022 has no EU4+UK authors). Tier 1 granted via P3 national-lead substitution.</t>
  </si>
  <si>
    <t xml:space="preserve">Confirm acceptance of substitution or downgrade to Tier 2.</t>
  </si>
  <si>
    <t xml:space="preserve">WORDING</t>
  </si>
  <si>
    <t xml:space="preserve">K (all EU rows marked 'Verify')</t>
  </si>
  <si>
    <t xml:space="preserve">ERN ITHACA HCP status</t>
  </si>
  <si>
    <t xml:space="preserve">ERN HCP membership not verified per centre; only Necker CRMR is sourced as ERN ITHACA-affiliated.</t>
  </si>
  <si>
    <t xml:space="preserve">Check live ERN ITHACA HCP list before use.</t>
  </si>
  <si>
    <t xml:space="preserve">PART-UNVERIFIABLE</t>
  </si>
  <si>
    <t xml:space="preserve">F (Necker, GOSH, OPBG, Meyer, Virgen del Rocío, LMU, UKE, Timone)</t>
  </si>
  <si>
    <t xml:space="preserve">Site PI names</t>
  </si>
  <si>
    <t xml:space="preserve">Trial site PIs not publicly listed on registry mirrors.</t>
  </si>
  <si>
    <t xml:space="preserve">Obtain PI names from CT.gov contacts / Ionis MSLs.</t>
  </si>
  <si>
    <t xml:space="preserve">Affiliation currency</t>
  </si>
  <si>
    <t xml:space="preserve">Named by Parc Taulí in Mar 2025 as a historical founder of the service; current role unclear.</t>
  </si>
  <si>
    <t xml:space="preserve">Re-verify before outreach.</t>
  </si>
  <si>
    <t xml:space="preserve">OUTDATED</t>
  </si>
  <si>
    <t xml:space="preserve">ERN ITHACA coordinator claim</t>
  </si>
  <si>
    <t xml:space="preserve">AngelmanUK page states ERN ITHACA coordinator role; UK HCPs left ERNs post-Brexit.</t>
  </si>
  <si>
    <t xml:space="preserve">Re-verify current ERN role.</t>
  </si>
  <si>
    <t xml:space="preserve">Dr Lena Manssen / Dr Christine Makowski</t>
  </si>
  <si>
    <t xml:space="preserve">REVEAL role</t>
  </si>
  <si>
    <t xml:space="preserve">LMU is first EU REVEAL site; their trial roles are inferred from institution, not sourced.</t>
  </si>
  <si>
    <t xml:space="preserve">Confirm with Ionis / site list.</t>
  </si>
  <si>
    <t xml:space="preserve">AS signal</t>
  </si>
  <si>
    <t xml:space="preserve">Head of OPBG neuropsychiatry; AS-specific role not sourced.</t>
  </si>
  <si>
    <t xml:space="preserve">Verify or replace with REVEAL PI.</t>
  </si>
  <si>
    <t xml:space="preserve">Dra Neus Baena / Dra Belén Ruiz Antorán</t>
  </si>
  <si>
    <t xml:space="preserve">Clinician status</t>
  </si>
  <si>
    <t xml:space="preserve">Laboratory/pharmacology roles — may not be treating physicians for TOV.</t>
  </si>
  <si>
    <t xml:space="preserve">Confirm HCP category before TOV classification.</t>
  </si>
  <si>
    <t xml:space="preserve">All</t>
  </si>
  <si>
    <t xml:space="preserve">Minimum 15 KOLs per country</t>
  </si>
  <si>
    <t xml:space="preserve">Only 5 (FR), 10 (DE), 12 (IT), 12 (ES), 5 (UK) traceable names without fabrication.</t>
  </si>
  <si>
    <t xml:space="preserve">Gap-fill via hospital directories / MSL field intel.</t>
  </si>
  <si>
    <t xml:space="preserve">TANGELO co-authors</t>
  </si>
  <si>
    <t xml:space="preserve">Independence / compliance</t>
  </si>
  <si>
    <t xml:space="preserve">Hipp, Bruenig-Traebert, Fontoura, Hooper, Jagasia, Krishnan, Noci, Schwab, Tillmann, Tjeertes, Vincenzi are Roche/industry-affiliated authors — deliberately excluded from roster.</t>
  </si>
  <si>
    <t xml:space="preserve">None — passed.</t>
  </si>
  <si>
    <t xml:space="preserve">COMPLIANCE-relevant (passed)</t>
  </si>
  <si>
    <t xml:space="preserve">Future-state</t>
  </si>
  <si>
    <t xml:space="preserve">Drug premise</t>
  </si>
  <si>
    <t xml:space="preserve">REVEAL: Ph3, 80 mg vs control, Cohort 1 fully enrolled Jul 2026, readout H2 2027; HALOS 71 enrolled; FDA Breakthrough 2025 — all sourced from Ionis/ASF communications.</t>
  </si>
  <si>
    <t xml:space="preserve">VERIFIED</t>
  </si>
  <si>
    <t xml:space="preserve">Competitor</t>
  </si>
  <si>
    <t xml:space="preserve">Competitor premise</t>
  </si>
  <si>
    <t xml:space="preserve">Aspire (apazunersen) missed primary &amp; key secondary endpoints (2 Sep 2026); Aurora continuing; rugonersen BEACON Ph3 registered.</t>
  </si>
  <si>
    <t xml:space="preserve">Closing note</t>
  </si>
  <si>
    <t xml:space="preserve">Checked and passed: ION582 trial status (HALOS/REVEAL), site lists for HALOS/REVEAL/Aspire/Aurora/GTX-102 Ph1/2, Aspire topline, French PNDS coordinator, TANGELO author affiliations, ASF/XUEC/Orphanet clinic designations. Red-highlighted cells on Country_Centres and KOL_Roster are the only items requiring your decision; nothing was auto-corrected.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</si>
</sst>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9C0006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563C1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doi.org/10.1002/mgg3.1843" TargetMode="External"/><Relationship Id="rId2" Type="http://schemas.openxmlformats.org/officeDocument/2006/relationships/hyperlink" Target="https://europepmc.org/articles/PMC8922964/" TargetMode="External"/><Relationship Id="rId3" Type="http://schemas.openxmlformats.org/officeDocument/2006/relationships/hyperlink" Target="https://www.has-sante.fr/jcms/p_3300847/fr/syndrome-d-angelman" TargetMode="External"/><Relationship Id="rId4" Type="http://schemas.openxmlformats.org/officeDocument/2006/relationships/hyperlink" Target="https://www.has-sante.fr/upload/docs/application/pdf/2021-11/argumentaire_pnds_angelman_vf.pdf" TargetMode="External"/><Relationship Id="rId5" Type="http://schemas.openxmlformats.org/officeDocument/2006/relationships/hyperlink" Target="https://www.nature.com/articles/s41591-025-03784-7" TargetMode="External"/><Relationship Id="rId6" Type="http://schemas.openxmlformats.org/officeDocument/2006/relationships/hyperlink" Target="https://www.baylorgenetics.com/publication/the-ube3a-ats-antisense-oligonucleotide-rugonersen-in-children-with-angelman-syndrome-a-phase-1-trial/" TargetMode="External"/><Relationship Id="rId7" Type="http://schemas.openxmlformats.org/officeDocument/2006/relationships/hyperlink" Target="https://www.thieme-connect.com/products/ejournals/pdf/10.1055/a-2399-0191.pdf" TargetMode="External"/><Relationship Id="rId8" Type="http://schemas.openxmlformats.org/officeDocument/2006/relationships/hyperlink" Target="https://clinicaltrials.gov/study/NCT05127226" TargetMode="External"/><Relationship Id="rId9" Type="http://schemas.openxmlformats.org/officeDocument/2006/relationships/hyperlink" Target="https://ichgcp.net/clinical-trials-registry/NCT05127226" TargetMode="External"/><Relationship Id="rId10" Type="http://schemas.openxmlformats.org/officeDocument/2006/relationships/hyperlink" Target="https://clinicaltrials.gov/study/NCT06914609" TargetMode="External"/><Relationship Id="rId11" Type="http://schemas.openxmlformats.org/officeDocument/2006/relationships/hyperlink" Target="https://eichor.com/study/NCT06914609" TargetMode="External"/><Relationship Id="rId12" Type="http://schemas.openxmlformats.org/officeDocument/2006/relationships/hyperlink" Target="https://angelman.org/wp-content/uploads/2026/04/Ionis-REVEAL-sites-EU_community-letter.pdf" TargetMode="External"/><Relationship Id="rId13" Type="http://schemas.openxmlformats.org/officeDocument/2006/relationships/hyperlink" Target="https://angelman.org/wp-content/uploads/2026/07/Ionis-update-REVEAL-July2026.pdf" TargetMode="External"/><Relationship Id="rId14" Type="http://schemas.openxmlformats.org/officeDocument/2006/relationships/hyperlink" Target="https://sindromediangelman.org/wp-content/uploads/2026/05/PA-IT-AS-260001-Community-Statement-REVEAL-Opens-in-Italy-052626.pdf" TargetMode="External"/><Relationship Id="rId15" Type="http://schemas.openxmlformats.org/officeDocument/2006/relationships/hyperlink" Target="https://clinicaltrials.gov/study/NCT06617429" TargetMode="External"/><Relationship Id="rId16" Type="http://schemas.openxmlformats.org/officeDocument/2006/relationships/hyperlink" Target="https://ichgcp.net/clinical-trials-registry/NCT06617429" TargetMode="External"/><Relationship Id="rId17" Type="http://schemas.openxmlformats.org/officeDocument/2006/relationships/hyperlink" Target="https://ir.ultragenyx.com/news-releases/news-release-details/ultragenyx-announces-phase-3-aspire-results-angelman-syndrome" TargetMode="External"/><Relationship Id="rId18" Type="http://schemas.openxmlformats.org/officeDocument/2006/relationships/hyperlink" Target="https://ichgcp.net/clinical-trials-registry/NCT07157254" TargetMode="External"/><Relationship Id="rId19" Type="http://schemas.openxmlformats.org/officeDocument/2006/relationships/hyperlink" Target="https://ichgcp.net/de/clinical-trials-registry/NCT04259281" TargetMode="External"/><Relationship Id="rId20" Type="http://schemas.openxmlformats.org/officeDocument/2006/relationships/hyperlink" Target="https://www.oakhillbio.com/news/oak-hill-bio-announces-publication-of-rugonersen-phase-1-study-results-in-nature-medicine" TargetMode="External"/><Relationship Id="rId21" Type="http://schemas.openxmlformats.org/officeDocument/2006/relationships/hyperlink" Target="https://clinicaltrials.gov/study/NCT07605429" TargetMode="External"/><Relationship Id="rId22" Type="http://schemas.openxmlformats.org/officeDocument/2006/relationships/hyperlink" Target="https://cureangelman.org.uk/our-work/oxford-natural-history-study/" TargetMode="External"/><Relationship Id="rId23" Type="http://schemas.openxmlformats.org/officeDocument/2006/relationships/hyperlink" Target="https://www.aboutpharma.com/scienza-ricerca/malattie-rare-sindrome-di-angelman-a-pisa-primi-test-al-mondo-per-valutare-sicurezza-di-un-nucleotide-antinsenso/" TargetMode="External"/><Relationship Id="rId24" Type="http://schemas.openxmlformats.org/officeDocument/2006/relationships/hyperlink" Target="https://maladiesrares-necker.aphp.fr/defisciences-rett/" TargetMode="External"/><Relationship Id="rId25" Type="http://schemas.openxmlformats.org/officeDocument/2006/relationships/hyperlink" Target="https://fr.ap-hm.fr/service/neurologie-pediatrique-hopital-timone" TargetMode="External"/><Relationship Id="rId26" Type="http://schemas.openxmlformats.org/officeDocument/2006/relationships/hyperlink" Target="https://www.tauli.cat/es/actualitat/noticia/2025/03/el-parc-tauli-primer-centre-assistencial-a-lestat-reconegut-internacionalment-com-a-hospital-expert-en-labordatge-de-la-sindrome-dangelman/" TargetMode="External"/><Relationship Id="rId27" Type="http://schemas.openxmlformats.org/officeDocument/2006/relationships/hyperlink" Target="https://angelman.org/asf-clinics/parc-tauli/" TargetMode="External"/><Relationship Id="rId28" Type="http://schemas.openxmlformats.org/officeDocument/2006/relationships/hyperlink" Target="https://cureangelman.es/comite-cientifico" TargetMode="External"/><Relationship Id="rId29" Type="http://schemas.openxmlformats.org/officeDocument/2006/relationships/hyperlink" Target="https://noticias.madrid/beca-de-investigacion-impulsa-avances-en-el-estudio-de-la-enfermedad-de-angelman-en-el-hospital-puerta-de-hierro/" TargetMode="External"/><Relationship Id="rId30" Type="http://schemas.openxmlformats.org/officeDocument/2006/relationships/hyperlink" Target="https://www.orpha.net/en/expert-centres/centre/692003?name=Angelman%20syndrome&amp;consulting=medical&amp;age=all&amp;official=0" TargetMode="External"/><Relationship Id="rId31" Type="http://schemas.openxmlformats.org/officeDocument/2006/relationships/hyperlink" Target="https://sindromediangelman.org/centri-sintrome-di-angelman/" TargetMode="External"/><Relationship Id="rId32" Type="http://schemas.openxmlformats.org/officeDocument/2006/relationships/hyperlink" Target="https://www.malattierare.gov.it/centri_cura/per_malattia/49/130" TargetMode="External"/><Relationship Id="rId33" Type="http://schemas.openxmlformats.org/officeDocument/2006/relationships/hyperlink" Target="https://www.angelmanuk.org/about/experts/" TargetMode="External"/><Relationship Id="rId34" Type="http://schemas.openxmlformats.org/officeDocument/2006/relationships/hyperlink" Target="https://www.uke.de/kliniken-institute/kliniken/kinder-und-jugendmedizin/forschung/klinische-forschung/neurop&#228;diatrie.html" TargetMode="External"/><Relationship Id="rId35" Type="http://schemas.openxmlformats.org/officeDocument/2006/relationships/hyperlink" Target="https://angelman.org/news-blog/international-clinic-network/" TargetMode="External"/><Relationship Id="rId36" Type="http://schemas.openxmlformats.org/officeDocument/2006/relationships/hyperlink" Target="https://angelman.org/clinical-trials/" TargetMode="External"/><Relationship Id="rId37" Type="http://schemas.openxmlformats.org/officeDocument/2006/relationships/hyperlink" Target="https://dna-diagnostik.hamburg/analysespektrum/angelman-syndrom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1" t="s">
        <v>0</v>
      </c>
      <c r="B1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23.85" hidden="false" customHeight="false" outlineLevel="0" collapsed="false">
      <c r="A7" s="3" t="s">
        <v>9</v>
      </c>
      <c r="B7" s="4" t="s">
        <v>10</v>
      </c>
    </row>
    <row r="8" customFormat="false" ht="23.85" hidden="false" customHeight="false" outlineLevel="0" collapsed="false">
      <c r="A8" s="3" t="s">
        <v>11</v>
      </c>
      <c r="B8" s="4" t="s">
        <v>12</v>
      </c>
    </row>
    <row r="10" customFormat="false" ht="17.35" hidden="false" customHeight="false" outlineLevel="0" collapsed="false">
      <c r="A10" s="1" t="s">
        <v>13</v>
      </c>
      <c r="B10" s="2"/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</row>
    <row r="14" customFormat="false" ht="15" hidden="false" customHeight="false" outlineLevel="0" collapsed="false">
      <c r="A14" s="3" t="s">
        <v>20</v>
      </c>
      <c r="B14" s="4" t="s">
        <v>21</v>
      </c>
    </row>
    <row r="15" customFormat="false" ht="15" hidden="false" customHeight="false" outlineLevel="0" collapsed="false">
      <c r="A15" s="3" t="s">
        <v>22</v>
      </c>
      <c r="B15" s="4" t="s">
        <v>23</v>
      </c>
    </row>
    <row r="16" customFormat="false" ht="15" hidden="false" customHeight="false" outlineLevel="0" collapsed="false">
      <c r="A16" s="3" t="s">
        <v>24</v>
      </c>
      <c r="B16" s="4" t="s">
        <v>25</v>
      </c>
    </row>
    <row r="18" customFormat="false" ht="17.35" hidden="false" customHeight="false" outlineLevel="0" collapsed="false">
      <c r="A18" s="1" t="s">
        <v>26</v>
      </c>
      <c r="B18" s="2"/>
    </row>
    <row r="19" customFormat="false" ht="46.25" hidden="false" customHeight="false" outlineLevel="0" collapsed="false">
      <c r="A19" s="3" t="s">
        <v>27</v>
      </c>
      <c r="B19" s="4" t="s">
        <v>28</v>
      </c>
    </row>
    <row r="20" customFormat="false" ht="35.05" hidden="false" customHeight="false" outlineLevel="0" collapsed="false">
      <c r="A20" s="3" t="s">
        <v>29</v>
      </c>
      <c r="B20" s="4" t="s">
        <v>30</v>
      </c>
    </row>
    <row r="21" customFormat="false" ht="35.05" hidden="false" customHeight="false" outlineLevel="0" collapsed="false">
      <c r="A21" s="3" t="s">
        <v>31</v>
      </c>
      <c r="B21" s="4" t="s">
        <v>32</v>
      </c>
    </row>
    <row r="22" customFormat="false" ht="35.05" hidden="false" customHeight="false" outlineLevel="0" collapsed="false">
      <c r="A22" s="3" t="s">
        <v>33</v>
      </c>
      <c r="B22" s="4" t="s">
        <v>34</v>
      </c>
    </row>
    <row r="23" customFormat="false" ht="23.85" hidden="false" customHeight="false" outlineLevel="0" collapsed="false">
      <c r="A23" s="3" t="s">
        <v>35</v>
      </c>
      <c r="B23" s="4" t="s">
        <v>36</v>
      </c>
    </row>
    <row r="25" customFormat="false" ht="17.35" hidden="false" customHeight="false" outlineLevel="0" collapsed="false">
      <c r="A25" s="1" t="s">
        <v>37</v>
      </c>
      <c r="B25" s="2"/>
    </row>
    <row r="26" customFormat="false" ht="23.85" hidden="false" customHeight="false" outlineLevel="0" collapsed="false">
      <c r="A26" s="3" t="s">
        <v>38</v>
      </c>
      <c r="B26" s="4" t="s">
        <v>39</v>
      </c>
    </row>
    <row r="27" customFormat="false" ht="23.85" hidden="false" customHeight="false" outlineLevel="0" collapsed="false">
      <c r="A27" s="3" t="s">
        <v>40</v>
      </c>
      <c r="B27" s="4" t="s">
        <v>41</v>
      </c>
    </row>
    <row r="28" customFormat="false" ht="23.85" hidden="false" customHeight="false" outlineLevel="0" collapsed="false">
      <c r="A28" s="3" t="s">
        <v>42</v>
      </c>
      <c r="B28" s="4" t="s">
        <v>43</v>
      </c>
    </row>
    <row r="29" customFormat="false" ht="23.85" hidden="false" customHeight="false" outlineLevel="0" collapsed="false">
      <c r="A29" s="3" t="s">
        <v>44</v>
      </c>
      <c r="B29" s="4" t="s">
        <v>45</v>
      </c>
    </row>
    <row r="31" customFormat="false" ht="17.35" hidden="false" customHeight="false" outlineLevel="0" collapsed="false">
      <c r="A31" s="1" t="s">
        <v>46</v>
      </c>
      <c r="B31" s="2"/>
    </row>
    <row r="32" customFormat="false" ht="15" hidden="false" customHeight="false" outlineLevel="0" collapsed="false">
      <c r="A32" s="3" t="s">
        <v>47</v>
      </c>
      <c r="B32" s="4" t="s">
        <v>48</v>
      </c>
    </row>
    <row r="33" customFormat="false" ht="15" hidden="false" customHeight="false" outlineLevel="0" collapsed="false">
      <c r="A33" s="3" t="s">
        <v>49</v>
      </c>
      <c r="B33" s="4" t="s">
        <v>50</v>
      </c>
    </row>
    <row r="34" customFormat="false" ht="15" hidden="false" customHeight="false" outlineLevel="0" collapsed="false">
      <c r="A34" s="3" t="s">
        <v>51</v>
      </c>
      <c r="B34" s="4" t="s">
        <v>52</v>
      </c>
    </row>
    <row r="35" customFormat="false" ht="23.85" hidden="false" customHeight="false" outlineLevel="0" collapsed="false">
      <c r="A35" s="3" t="s">
        <v>53</v>
      </c>
      <c r="B35" s="4" t="s">
        <v>54</v>
      </c>
    </row>
    <row r="36" customFormat="false" ht="15" hidden="false" customHeight="false" outlineLevel="0" collapsed="false">
      <c r="A36" s="3" t="s">
        <v>55</v>
      </c>
      <c r="B36" s="4" t="s">
        <v>56</v>
      </c>
    </row>
    <row r="37" customFormat="false" ht="15" hidden="false" customHeight="false" outlineLevel="0" collapsed="false">
      <c r="A37" s="3" t="s">
        <v>57</v>
      </c>
      <c r="B37" s="4" t="s">
        <v>58</v>
      </c>
    </row>
    <row r="39" customFormat="false" ht="17.35" hidden="false" customHeight="false" outlineLevel="0" collapsed="false">
      <c r="A39" s="1" t="s">
        <v>59</v>
      </c>
      <c r="B39" s="2"/>
    </row>
    <row r="40" customFormat="false" ht="15" hidden="false" customHeight="false" outlineLevel="0" collapsed="false">
      <c r="A40" s="3" t="s">
        <v>60</v>
      </c>
      <c r="B40" s="4" t="s">
        <v>61</v>
      </c>
    </row>
    <row r="41" customFormat="false" ht="23.85" hidden="false" customHeight="false" outlineLevel="0" collapsed="false">
      <c r="A41" s="3" t="s">
        <v>62</v>
      </c>
      <c r="B41" s="4" t="s">
        <v>63</v>
      </c>
    </row>
    <row r="42" customFormat="false" ht="15" hidden="false" customHeight="false" outlineLevel="0" collapsed="false">
      <c r="A42" s="3" t="s">
        <v>64</v>
      </c>
      <c r="B42" s="4" t="s">
        <v>65</v>
      </c>
    </row>
    <row r="43" customFormat="false" ht="15" hidden="false" customHeight="false" outlineLevel="0" collapsed="false">
      <c r="A43" s="3" t="s">
        <v>66</v>
      </c>
      <c r="B43" s="4" t="s">
        <v>67</v>
      </c>
    </row>
    <row r="44" customFormat="false" ht="15" hidden="false" customHeight="false" outlineLevel="0" collapsed="false">
      <c r="A44" s="3" t="s">
        <v>68</v>
      </c>
      <c r="B44" s="4" t="s">
        <v>69</v>
      </c>
    </row>
    <row r="46" customFormat="false" ht="17.35" hidden="false" customHeight="false" outlineLevel="0" collapsed="false">
      <c r="A46" s="1" t="s">
        <v>70</v>
      </c>
      <c r="B46" s="2"/>
    </row>
    <row r="47" customFormat="false" ht="23.85" hidden="false" customHeight="false" outlineLevel="0" collapsed="false">
      <c r="A47" s="3" t="s">
        <v>71</v>
      </c>
      <c r="B47" s="4" t="s">
        <v>72</v>
      </c>
    </row>
    <row r="49" customFormat="false" ht="17.35" hidden="false" customHeight="false" outlineLevel="0" collapsed="false">
      <c r="A49" s="1" t="s">
        <v>73</v>
      </c>
      <c r="B49" s="2"/>
    </row>
    <row r="50" customFormat="false" ht="15" hidden="false" customHeight="false" outlineLevel="0" collapsed="false">
      <c r="A50" s="3" t="s">
        <v>74</v>
      </c>
      <c r="B50" s="4" t="s">
        <v>75</v>
      </c>
    </row>
    <row r="51" customFormat="false" ht="15" hidden="false" customHeight="false" outlineLevel="0" collapsed="false">
      <c r="A51" s="3" t="s">
        <v>76</v>
      </c>
      <c r="B51" s="4" t="s">
        <v>77</v>
      </c>
    </row>
    <row r="52" customFormat="false" ht="15" hidden="false" customHeight="false" outlineLevel="0" collapsed="false">
      <c r="A52" s="3" t="s">
        <v>78</v>
      </c>
      <c r="B52" s="4" t="s">
        <v>79</v>
      </c>
    </row>
    <row r="53" customFormat="false" ht="15" hidden="false" customHeight="false" outlineLevel="0" collapsed="false">
      <c r="A53" s="3" t="s">
        <v>80</v>
      </c>
      <c r="B53" s="4" t="s">
        <v>81</v>
      </c>
    </row>
    <row r="54" customFormat="false" ht="15" hidden="false" customHeight="false" outlineLevel="0" collapsed="false">
      <c r="A54" s="3" t="s">
        <v>82</v>
      </c>
      <c r="B54" s="4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5" min="4" style="0" width="34"/>
    <col collapsed="false" customWidth="true" hidden="false" outlineLevel="0" max="6" min="6" style="0" width="36"/>
    <col collapsed="false" customWidth="true" hidden="false" outlineLevel="0" max="7" min="7" style="0" width="42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26"/>
    <col collapsed="false" customWidth="true" hidden="false" outlineLevel="0" max="12" min="12" style="0" width="22"/>
    <col collapsed="false" customWidth="true" hidden="false" outlineLevel="0" max="13" min="13" style="0" width="44"/>
  </cols>
  <sheetData>
    <row r="1" customFormat="false" ht="77.6" hidden="false" customHeight="false" outlineLevel="0" collapsed="false">
      <c r="A1" s="5" t="s">
        <v>84</v>
      </c>
      <c r="B1" s="5" t="s">
        <v>85</v>
      </c>
      <c r="C1" s="5" t="s">
        <v>86</v>
      </c>
      <c r="D1" s="5" t="s">
        <v>87</v>
      </c>
      <c r="E1" s="5" t="s">
        <v>88</v>
      </c>
      <c r="F1" s="5" t="s">
        <v>89</v>
      </c>
      <c r="G1" s="5" t="s">
        <v>90</v>
      </c>
      <c r="H1" s="5" t="s">
        <v>91</v>
      </c>
      <c r="I1" s="5" t="s">
        <v>92</v>
      </c>
      <c r="J1" s="5" t="s">
        <v>93</v>
      </c>
      <c r="K1" s="5" t="s">
        <v>94</v>
      </c>
      <c r="L1" s="5" t="s">
        <v>95</v>
      </c>
      <c r="M1" s="5" t="s">
        <v>96</v>
      </c>
    </row>
    <row r="2" customFormat="false" ht="46.25" hidden="false" customHeight="false" outlineLevel="0" collapsed="false">
      <c r="A2" s="4" t="s">
        <v>97</v>
      </c>
      <c r="B2" s="6" t="n">
        <v>2</v>
      </c>
      <c r="C2" s="4" t="s">
        <v>98</v>
      </c>
      <c r="D2" s="4" t="s">
        <v>99</v>
      </c>
      <c r="E2" s="4" t="s">
        <v>100</v>
      </c>
      <c r="F2" s="7" t="s">
        <v>101</v>
      </c>
      <c r="G2" s="4" t="s">
        <v>102</v>
      </c>
      <c r="H2" s="4" t="s">
        <v>103</v>
      </c>
      <c r="I2" s="4" t="s">
        <v>104</v>
      </c>
      <c r="J2" s="4" t="s">
        <v>105</v>
      </c>
      <c r="K2" s="4" t="s">
        <v>106</v>
      </c>
      <c r="L2" s="4" t="s">
        <v>107</v>
      </c>
      <c r="M2" s="4" t="s">
        <v>108</v>
      </c>
    </row>
    <row r="3" customFormat="false" ht="35.05" hidden="false" customHeight="false" outlineLevel="0" collapsed="false">
      <c r="A3" s="4" t="s">
        <v>97</v>
      </c>
      <c r="B3" s="6" t="n">
        <v>2</v>
      </c>
      <c r="C3" s="4" t="s">
        <v>98</v>
      </c>
      <c r="D3" s="4" t="s">
        <v>109</v>
      </c>
      <c r="E3" s="4" t="s">
        <v>110</v>
      </c>
      <c r="F3" s="4" t="s">
        <v>111</v>
      </c>
      <c r="G3" s="4" t="s">
        <v>112</v>
      </c>
      <c r="H3" s="4" t="s">
        <v>113</v>
      </c>
      <c r="I3" s="4" t="s">
        <v>114</v>
      </c>
      <c r="J3" s="4" t="s">
        <v>103</v>
      </c>
      <c r="K3" s="7" t="s">
        <v>115</v>
      </c>
      <c r="L3" s="4" t="s">
        <v>116</v>
      </c>
      <c r="M3" s="4" t="s">
        <v>117</v>
      </c>
    </row>
    <row r="4" customFormat="false" ht="46.25" hidden="false" customHeight="false" outlineLevel="0" collapsed="false">
      <c r="A4" s="4" t="s">
        <v>97</v>
      </c>
      <c r="B4" s="6" t="n">
        <v>2</v>
      </c>
      <c r="C4" s="4" t="s">
        <v>118</v>
      </c>
      <c r="D4" s="4" t="s">
        <v>119</v>
      </c>
      <c r="E4" s="4" t="s">
        <v>120</v>
      </c>
      <c r="F4" s="7" t="s">
        <v>121</v>
      </c>
      <c r="G4" s="4" t="s">
        <v>122</v>
      </c>
      <c r="H4" s="4" t="s">
        <v>103</v>
      </c>
      <c r="I4" s="4" t="s">
        <v>123</v>
      </c>
      <c r="J4" s="4" t="s">
        <v>124</v>
      </c>
      <c r="K4" s="7" t="s">
        <v>125</v>
      </c>
      <c r="L4" s="4" t="s">
        <v>126</v>
      </c>
      <c r="M4" s="4" t="s">
        <v>127</v>
      </c>
    </row>
    <row r="5" customFormat="false" ht="35.05" hidden="false" customHeight="false" outlineLevel="0" collapsed="false">
      <c r="A5" s="4" t="s">
        <v>66</v>
      </c>
      <c r="B5" s="6" t="n">
        <v>2</v>
      </c>
      <c r="C5" s="4" t="s">
        <v>128</v>
      </c>
      <c r="D5" s="4" t="s">
        <v>129</v>
      </c>
      <c r="E5" s="4" t="s">
        <v>130</v>
      </c>
      <c r="F5" s="7" t="s">
        <v>131</v>
      </c>
      <c r="G5" s="4" t="s">
        <v>132</v>
      </c>
      <c r="H5" s="4" t="s">
        <v>103</v>
      </c>
      <c r="I5" s="4" t="s">
        <v>133</v>
      </c>
      <c r="J5" s="4" t="s">
        <v>134</v>
      </c>
      <c r="K5" s="7" t="s">
        <v>135</v>
      </c>
      <c r="L5" s="4" t="s">
        <v>136</v>
      </c>
      <c r="M5" s="4" t="s">
        <v>137</v>
      </c>
    </row>
    <row r="6" customFormat="false" ht="46.25" hidden="false" customHeight="false" outlineLevel="0" collapsed="false">
      <c r="A6" s="4" t="s">
        <v>66</v>
      </c>
      <c r="B6" s="6" t="n">
        <v>2</v>
      </c>
      <c r="C6" s="4" t="s">
        <v>138</v>
      </c>
      <c r="D6" s="4" t="s">
        <v>139</v>
      </c>
      <c r="E6" s="4" t="s">
        <v>140</v>
      </c>
      <c r="F6" s="4" t="s">
        <v>141</v>
      </c>
      <c r="G6" s="4" t="s">
        <v>142</v>
      </c>
      <c r="H6" s="4" t="s">
        <v>103</v>
      </c>
      <c r="I6" s="4" t="s">
        <v>143</v>
      </c>
      <c r="J6" s="4" t="s">
        <v>144</v>
      </c>
      <c r="K6" s="7" t="s">
        <v>145</v>
      </c>
      <c r="L6" s="4" t="s">
        <v>146</v>
      </c>
      <c r="M6" s="4" t="s">
        <v>147</v>
      </c>
    </row>
    <row r="7" customFormat="false" ht="35.05" hidden="false" customHeight="false" outlineLevel="0" collapsed="false">
      <c r="A7" s="4" t="s">
        <v>66</v>
      </c>
      <c r="B7" s="6" t="n">
        <v>2</v>
      </c>
      <c r="C7" s="4" t="s">
        <v>148</v>
      </c>
      <c r="D7" s="4" t="s">
        <v>149</v>
      </c>
      <c r="E7" s="4" t="s">
        <v>150</v>
      </c>
      <c r="F7" s="7" t="s">
        <v>151</v>
      </c>
      <c r="G7" s="4" t="s">
        <v>152</v>
      </c>
      <c r="H7" s="4" t="s">
        <v>103</v>
      </c>
      <c r="I7" s="4" t="s">
        <v>153</v>
      </c>
      <c r="J7" s="4" t="s">
        <v>144</v>
      </c>
      <c r="K7" s="7" t="s">
        <v>154</v>
      </c>
      <c r="L7" s="4" t="s">
        <v>155</v>
      </c>
      <c r="M7" s="4" t="s">
        <v>156</v>
      </c>
    </row>
    <row r="8" customFormat="false" ht="23.85" hidden="false" customHeight="false" outlineLevel="0" collapsed="false">
      <c r="A8" s="4" t="s">
        <v>66</v>
      </c>
      <c r="B8" s="6" t="n">
        <v>3</v>
      </c>
      <c r="C8" s="4" t="s">
        <v>157</v>
      </c>
      <c r="D8" s="4" t="s">
        <v>158</v>
      </c>
      <c r="E8" s="4" t="s">
        <v>159</v>
      </c>
      <c r="F8" s="4" t="s">
        <v>160</v>
      </c>
      <c r="G8" s="4" t="s">
        <v>161</v>
      </c>
      <c r="H8" s="4" t="s">
        <v>103</v>
      </c>
      <c r="I8" s="4" t="s">
        <v>103</v>
      </c>
      <c r="J8" s="4" t="s">
        <v>103</v>
      </c>
      <c r="K8" s="4" t="s">
        <v>103</v>
      </c>
      <c r="L8" s="4" t="s">
        <v>162</v>
      </c>
      <c r="M8" s="4" t="s">
        <v>163</v>
      </c>
    </row>
    <row r="9" customFormat="false" ht="35.05" hidden="false" customHeight="false" outlineLevel="0" collapsed="false">
      <c r="A9" s="4" t="s">
        <v>164</v>
      </c>
      <c r="B9" s="8" t="n">
        <v>1</v>
      </c>
      <c r="C9" s="4" t="s">
        <v>165</v>
      </c>
      <c r="D9" s="4" t="s">
        <v>166</v>
      </c>
      <c r="E9" s="4" t="s">
        <v>167</v>
      </c>
      <c r="F9" s="4" t="s">
        <v>168</v>
      </c>
      <c r="G9" s="4" t="s">
        <v>169</v>
      </c>
      <c r="H9" s="4" t="s">
        <v>103</v>
      </c>
      <c r="I9" s="4" t="s">
        <v>170</v>
      </c>
      <c r="J9" s="4" t="s">
        <v>171</v>
      </c>
      <c r="K9" s="7" t="s">
        <v>135</v>
      </c>
      <c r="L9" s="4" t="s">
        <v>172</v>
      </c>
      <c r="M9" s="4" t="s">
        <v>173</v>
      </c>
    </row>
    <row r="10" customFormat="false" ht="35.05" hidden="false" customHeight="false" outlineLevel="0" collapsed="false">
      <c r="A10" s="4" t="s">
        <v>164</v>
      </c>
      <c r="B10" s="6" t="n">
        <v>2</v>
      </c>
      <c r="C10" s="4" t="s">
        <v>174</v>
      </c>
      <c r="D10" s="4" t="s">
        <v>175</v>
      </c>
      <c r="E10" s="4" t="s">
        <v>176</v>
      </c>
      <c r="F10" s="4" t="s">
        <v>177</v>
      </c>
      <c r="G10" s="4" t="s">
        <v>178</v>
      </c>
      <c r="H10" s="4" t="s">
        <v>103</v>
      </c>
      <c r="I10" s="4" t="s">
        <v>179</v>
      </c>
      <c r="J10" s="4" t="s">
        <v>180</v>
      </c>
      <c r="K10" s="7" t="s">
        <v>181</v>
      </c>
      <c r="L10" s="4" t="s">
        <v>182</v>
      </c>
      <c r="M10" s="4"/>
    </row>
    <row r="11" customFormat="false" ht="23.85" hidden="false" customHeight="false" outlineLevel="0" collapsed="false">
      <c r="A11" s="4" t="s">
        <v>164</v>
      </c>
      <c r="B11" s="6" t="n">
        <v>2</v>
      </c>
      <c r="C11" s="4" t="s">
        <v>183</v>
      </c>
      <c r="D11" s="4" t="s">
        <v>184</v>
      </c>
      <c r="E11" s="4" t="s">
        <v>185</v>
      </c>
      <c r="F11" s="7" t="s">
        <v>186</v>
      </c>
      <c r="G11" s="4" t="s">
        <v>187</v>
      </c>
      <c r="H11" s="4" t="s">
        <v>103</v>
      </c>
      <c r="I11" s="4" t="s">
        <v>188</v>
      </c>
      <c r="J11" s="4" t="s">
        <v>189</v>
      </c>
      <c r="K11" s="7" t="s">
        <v>135</v>
      </c>
      <c r="L11" s="4" t="s">
        <v>190</v>
      </c>
      <c r="M11" s="4"/>
    </row>
    <row r="12" customFormat="false" ht="23.85" hidden="false" customHeight="false" outlineLevel="0" collapsed="false">
      <c r="A12" s="4" t="s">
        <v>164</v>
      </c>
      <c r="B12" s="6" t="n">
        <v>2</v>
      </c>
      <c r="C12" s="4" t="s">
        <v>191</v>
      </c>
      <c r="D12" s="4" t="s">
        <v>192</v>
      </c>
      <c r="E12" s="4" t="s">
        <v>193</v>
      </c>
      <c r="F12" s="4" t="s">
        <v>194</v>
      </c>
      <c r="G12" s="4" t="s">
        <v>195</v>
      </c>
      <c r="H12" s="4" t="s">
        <v>103</v>
      </c>
      <c r="I12" s="4" t="s">
        <v>188</v>
      </c>
      <c r="J12" s="4" t="s">
        <v>189</v>
      </c>
      <c r="K12" s="7" t="s">
        <v>196</v>
      </c>
      <c r="L12" s="4" t="s">
        <v>197</v>
      </c>
      <c r="M12" s="4"/>
    </row>
    <row r="13" customFormat="false" ht="23.85" hidden="false" customHeight="false" outlineLevel="0" collapsed="false">
      <c r="A13" s="4" t="s">
        <v>164</v>
      </c>
      <c r="B13" s="6" t="n">
        <v>2</v>
      </c>
      <c r="C13" s="4" t="s">
        <v>198</v>
      </c>
      <c r="D13" s="4" t="s">
        <v>199</v>
      </c>
      <c r="E13" s="4" t="s">
        <v>200</v>
      </c>
      <c r="F13" s="7" t="s">
        <v>201</v>
      </c>
      <c r="G13" s="4" t="s">
        <v>202</v>
      </c>
      <c r="H13" s="4" t="s">
        <v>103</v>
      </c>
      <c r="I13" s="4" t="s">
        <v>203</v>
      </c>
      <c r="J13" s="4" t="s">
        <v>124</v>
      </c>
      <c r="K13" s="7" t="s">
        <v>204</v>
      </c>
      <c r="L13" s="4" t="s">
        <v>103</v>
      </c>
      <c r="M13" s="4" t="s">
        <v>205</v>
      </c>
    </row>
    <row r="14" customFormat="false" ht="23.85" hidden="false" customHeight="false" outlineLevel="0" collapsed="false">
      <c r="A14" s="4" t="s">
        <v>164</v>
      </c>
      <c r="B14" s="6" t="n">
        <v>3</v>
      </c>
      <c r="C14" s="4" t="s">
        <v>174</v>
      </c>
      <c r="D14" s="4" t="s">
        <v>206</v>
      </c>
      <c r="E14" s="4" t="s">
        <v>207</v>
      </c>
      <c r="F14" s="4" t="s">
        <v>208</v>
      </c>
      <c r="G14" s="4" t="s">
        <v>209</v>
      </c>
      <c r="H14" s="4" t="s">
        <v>103</v>
      </c>
      <c r="I14" s="4" t="s">
        <v>103</v>
      </c>
      <c r="J14" s="4" t="s">
        <v>103</v>
      </c>
      <c r="K14" s="4" t="s">
        <v>103</v>
      </c>
      <c r="L14" s="4" t="s">
        <v>210</v>
      </c>
      <c r="M14" s="4" t="s">
        <v>211</v>
      </c>
    </row>
    <row r="15" customFormat="false" ht="15" hidden="false" customHeight="false" outlineLevel="0" collapsed="false">
      <c r="A15" s="4" t="s">
        <v>164</v>
      </c>
      <c r="B15" s="6" t="n">
        <v>3</v>
      </c>
      <c r="C15" s="4" t="s">
        <v>212</v>
      </c>
      <c r="D15" s="4" t="s">
        <v>213</v>
      </c>
      <c r="E15" s="4" t="s">
        <v>214</v>
      </c>
      <c r="F15" s="4" t="s">
        <v>215</v>
      </c>
      <c r="G15" s="4" t="s">
        <v>216</v>
      </c>
      <c r="H15" s="4" t="s">
        <v>103</v>
      </c>
      <c r="I15" s="4" t="s">
        <v>103</v>
      </c>
      <c r="J15" s="4" t="s">
        <v>103</v>
      </c>
      <c r="K15" s="4" t="s">
        <v>103</v>
      </c>
      <c r="L15" s="4" t="s">
        <v>217</v>
      </c>
      <c r="M15" s="4"/>
    </row>
    <row r="16" customFormat="false" ht="15" hidden="false" customHeight="false" outlineLevel="0" collapsed="false">
      <c r="A16" s="4" t="s">
        <v>164</v>
      </c>
      <c r="B16" s="6" t="n">
        <v>3</v>
      </c>
      <c r="C16" s="4" t="s">
        <v>218</v>
      </c>
      <c r="D16" s="4" t="s">
        <v>219</v>
      </c>
      <c r="E16" s="4" t="s">
        <v>220</v>
      </c>
      <c r="F16" s="4" t="s">
        <v>221</v>
      </c>
      <c r="G16" s="4" t="s">
        <v>222</v>
      </c>
      <c r="H16" s="4" t="s">
        <v>103</v>
      </c>
      <c r="I16" s="4" t="s">
        <v>103</v>
      </c>
      <c r="J16" s="4" t="s">
        <v>103</v>
      </c>
      <c r="K16" s="4" t="s">
        <v>103</v>
      </c>
      <c r="L16" s="4" t="s">
        <v>217</v>
      </c>
      <c r="M16" s="4"/>
    </row>
    <row r="17" customFormat="false" ht="15" hidden="false" customHeight="false" outlineLevel="0" collapsed="false">
      <c r="A17" s="4" t="s">
        <v>164</v>
      </c>
      <c r="B17" s="6" t="n">
        <v>3</v>
      </c>
      <c r="C17" s="4" t="s">
        <v>223</v>
      </c>
      <c r="D17" s="4" t="s">
        <v>224</v>
      </c>
      <c r="E17" s="4" t="s">
        <v>220</v>
      </c>
      <c r="F17" s="4" t="s">
        <v>225</v>
      </c>
      <c r="G17" s="4" t="s">
        <v>222</v>
      </c>
      <c r="H17" s="4" t="s">
        <v>103</v>
      </c>
      <c r="I17" s="4" t="s">
        <v>103</v>
      </c>
      <c r="J17" s="4" t="s">
        <v>103</v>
      </c>
      <c r="K17" s="4" t="s">
        <v>103</v>
      </c>
      <c r="L17" s="4" t="s">
        <v>217</v>
      </c>
      <c r="M17" s="4"/>
    </row>
    <row r="18" customFormat="false" ht="23.85" hidden="false" customHeight="false" outlineLevel="0" collapsed="false">
      <c r="A18" s="4" t="s">
        <v>164</v>
      </c>
      <c r="B18" s="6" t="n">
        <v>3</v>
      </c>
      <c r="C18" s="4" t="s">
        <v>174</v>
      </c>
      <c r="D18" s="4" t="s">
        <v>226</v>
      </c>
      <c r="E18" s="4" t="s">
        <v>227</v>
      </c>
      <c r="F18" s="4" t="s">
        <v>228</v>
      </c>
      <c r="G18" s="4" t="s">
        <v>229</v>
      </c>
      <c r="H18" s="4" t="s">
        <v>103</v>
      </c>
      <c r="I18" s="4" t="s">
        <v>103</v>
      </c>
      <c r="J18" s="4" t="s">
        <v>103</v>
      </c>
      <c r="K18" s="4" t="s">
        <v>103</v>
      </c>
      <c r="L18" s="4" t="s">
        <v>217</v>
      </c>
      <c r="M18" s="4"/>
    </row>
    <row r="19" customFormat="false" ht="15" hidden="false" customHeight="false" outlineLevel="0" collapsed="false">
      <c r="A19" s="4" t="s">
        <v>164</v>
      </c>
      <c r="B19" s="6" t="n">
        <v>3</v>
      </c>
      <c r="C19" s="4" t="s">
        <v>230</v>
      </c>
      <c r="D19" s="4" t="s">
        <v>231</v>
      </c>
      <c r="E19" s="4" t="s">
        <v>220</v>
      </c>
      <c r="F19" s="4" t="s">
        <v>232</v>
      </c>
      <c r="G19" s="4" t="s">
        <v>222</v>
      </c>
      <c r="H19" s="4" t="s">
        <v>103</v>
      </c>
      <c r="I19" s="4" t="s">
        <v>103</v>
      </c>
      <c r="J19" s="4" t="s">
        <v>103</v>
      </c>
      <c r="K19" s="4" t="s">
        <v>103</v>
      </c>
      <c r="L19" s="4" t="s">
        <v>217</v>
      </c>
      <c r="M19" s="4"/>
    </row>
    <row r="20" customFormat="false" ht="35.05" hidden="false" customHeight="false" outlineLevel="0" collapsed="false">
      <c r="A20" s="4" t="s">
        <v>233</v>
      </c>
      <c r="B20" s="8" t="n">
        <v>1</v>
      </c>
      <c r="C20" s="4" t="s">
        <v>234</v>
      </c>
      <c r="D20" s="4" t="s">
        <v>235</v>
      </c>
      <c r="E20" s="4" t="s">
        <v>236</v>
      </c>
      <c r="F20" s="4" t="s">
        <v>237</v>
      </c>
      <c r="G20" s="4" t="s">
        <v>238</v>
      </c>
      <c r="H20" s="4" t="s">
        <v>103</v>
      </c>
      <c r="I20" s="4" t="s">
        <v>239</v>
      </c>
      <c r="J20" s="4" t="s">
        <v>240</v>
      </c>
      <c r="K20" s="7" t="s">
        <v>241</v>
      </c>
      <c r="L20" s="4" t="s">
        <v>242</v>
      </c>
      <c r="M20" s="4" t="s">
        <v>243</v>
      </c>
    </row>
    <row r="21" customFormat="false" ht="35.05" hidden="false" customHeight="false" outlineLevel="0" collapsed="false">
      <c r="A21" s="4" t="s">
        <v>233</v>
      </c>
      <c r="B21" s="6" t="n">
        <v>2</v>
      </c>
      <c r="C21" s="4" t="s">
        <v>244</v>
      </c>
      <c r="D21" s="4" t="s">
        <v>245</v>
      </c>
      <c r="E21" s="4" t="s">
        <v>246</v>
      </c>
      <c r="F21" s="4" t="s">
        <v>247</v>
      </c>
      <c r="G21" s="4" t="s">
        <v>248</v>
      </c>
      <c r="H21" s="4" t="s">
        <v>103</v>
      </c>
      <c r="I21" s="4" t="s">
        <v>249</v>
      </c>
      <c r="J21" s="4" t="s">
        <v>134</v>
      </c>
      <c r="K21" s="7" t="s">
        <v>154</v>
      </c>
      <c r="L21" s="4" t="s">
        <v>217</v>
      </c>
      <c r="M21" s="4" t="s">
        <v>250</v>
      </c>
    </row>
    <row r="22" customFormat="false" ht="35.05" hidden="false" customHeight="false" outlineLevel="0" collapsed="false">
      <c r="A22" s="4" t="s">
        <v>233</v>
      </c>
      <c r="B22" s="6" t="n">
        <v>2</v>
      </c>
      <c r="C22" s="4" t="s">
        <v>251</v>
      </c>
      <c r="D22" s="4" t="s">
        <v>252</v>
      </c>
      <c r="E22" s="4" t="s">
        <v>253</v>
      </c>
      <c r="F22" s="4" t="s">
        <v>254</v>
      </c>
      <c r="G22" s="4" t="s">
        <v>255</v>
      </c>
      <c r="H22" s="4" t="s">
        <v>103</v>
      </c>
      <c r="I22" s="4" t="s">
        <v>256</v>
      </c>
      <c r="J22" s="4" t="s">
        <v>257</v>
      </c>
      <c r="K22" s="7" t="s">
        <v>196</v>
      </c>
      <c r="L22" s="4" t="s">
        <v>258</v>
      </c>
      <c r="M22" s="4"/>
    </row>
    <row r="23" customFormat="false" ht="23.85" hidden="false" customHeight="false" outlineLevel="0" collapsed="false">
      <c r="A23" s="4" t="s">
        <v>233</v>
      </c>
      <c r="B23" s="6" t="n">
        <v>2</v>
      </c>
      <c r="C23" s="4" t="s">
        <v>259</v>
      </c>
      <c r="D23" s="4" t="s">
        <v>260</v>
      </c>
      <c r="E23" s="4" t="s">
        <v>261</v>
      </c>
      <c r="F23" s="7" t="s">
        <v>262</v>
      </c>
      <c r="G23" s="4" t="s">
        <v>263</v>
      </c>
      <c r="H23" s="4" t="s">
        <v>103</v>
      </c>
      <c r="I23" s="4" t="s">
        <v>256</v>
      </c>
      <c r="J23" s="4" t="s">
        <v>257</v>
      </c>
      <c r="K23" s="7" t="s">
        <v>196</v>
      </c>
      <c r="L23" s="4" t="s">
        <v>103</v>
      </c>
      <c r="M23" s="4"/>
    </row>
    <row r="24" customFormat="false" ht="35.05" hidden="false" customHeight="false" outlineLevel="0" collapsed="false">
      <c r="A24" s="4" t="s">
        <v>64</v>
      </c>
      <c r="B24" s="8" t="n">
        <v>1</v>
      </c>
      <c r="C24" s="4" t="s">
        <v>264</v>
      </c>
      <c r="D24" s="4" t="s">
        <v>265</v>
      </c>
      <c r="E24" s="4" t="s">
        <v>266</v>
      </c>
      <c r="F24" s="4" t="s">
        <v>267</v>
      </c>
      <c r="G24" s="4" t="s">
        <v>268</v>
      </c>
      <c r="H24" s="4" t="s">
        <v>103</v>
      </c>
      <c r="I24" s="4" t="s">
        <v>269</v>
      </c>
      <c r="J24" s="4" t="s">
        <v>270</v>
      </c>
      <c r="K24" s="4" t="s">
        <v>271</v>
      </c>
      <c r="L24" s="4" t="s">
        <v>272</v>
      </c>
      <c r="M24" s="4" t="s">
        <v>273</v>
      </c>
    </row>
    <row r="25" customFormat="false" ht="23.85" hidden="false" customHeight="false" outlineLevel="0" collapsed="false">
      <c r="A25" s="4" t="s">
        <v>64</v>
      </c>
      <c r="B25" s="6" t="n">
        <v>2</v>
      </c>
      <c r="C25" s="4" t="s">
        <v>274</v>
      </c>
      <c r="D25" s="4" t="s">
        <v>275</v>
      </c>
      <c r="E25" s="4" t="s">
        <v>276</v>
      </c>
      <c r="F25" s="7" t="s">
        <v>186</v>
      </c>
      <c r="G25" s="4" t="s">
        <v>277</v>
      </c>
      <c r="H25" s="4" t="s">
        <v>103</v>
      </c>
      <c r="I25" s="4" t="s">
        <v>188</v>
      </c>
      <c r="J25" s="4" t="s">
        <v>189</v>
      </c>
      <c r="K25" s="4" t="s">
        <v>278</v>
      </c>
      <c r="L25" s="4" t="s">
        <v>103</v>
      </c>
      <c r="M25" s="4"/>
    </row>
    <row r="26" customFormat="false" ht="35.05" hidden="false" customHeight="false" outlineLevel="0" collapsed="false">
      <c r="A26" s="4" t="s">
        <v>64</v>
      </c>
      <c r="B26" s="6" t="n">
        <v>2</v>
      </c>
      <c r="C26" s="4" t="s">
        <v>279</v>
      </c>
      <c r="D26" s="4" t="s">
        <v>280</v>
      </c>
      <c r="E26" s="4" t="s">
        <v>281</v>
      </c>
      <c r="F26" s="4" t="s">
        <v>282</v>
      </c>
      <c r="G26" s="4" t="s">
        <v>283</v>
      </c>
      <c r="H26" s="4" t="s">
        <v>284</v>
      </c>
      <c r="I26" s="4" t="s">
        <v>285</v>
      </c>
      <c r="J26" s="4" t="s">
        <v>103</v>
      </c>
      <c r="K26" s="4" t="s">
        <v>278</v>
      </c>
      <c r="L26" s="4" t="s">
        <v>286</v>
      </c>
      <c r="M26" s="4" t="s">
        <v>287</v>
      </c>
    </row>
  </sheetData>
  <autoFilter ref="A1:M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44"/>
    <col collapsed="false" customWidth="true" hidden="false" outlineLevel="0" max="5" min="5" style="0" width="22"/>
    <col collapsed="false" customWidth="true" hidden="false" outlineLevel="0" max="6" min="6" style="0" width="34"/>
    <col collapsed="false" customWidth="true" hidden="false" outlineLevel="0" max="7" min="7" style="0" width="44"/>
    <col collapsed="false" customWidth="true" hidden="false" outlineLevel="0" max="8" min="8" style="0" width="26"/>
    <col collapsed="false" customWidth="true" hidden="false" outlineLevel="0" max="9" min="9" style="0" width="36"/>
    <col collapsed="false" customWidth="true" hidden="false" outlineLevel="0" max="10" min="10" style="0" width="30"/>
  </cols>
  <sheetData>
    <row r="1" customFormat="false" ht="39.55" hidden="false" customHeight="false" outlineLevel="0" collapsed="false">
      <c r="A1" s="5" t="s">
        <v>84</v>
      </c>
      <c r="B1" s="5" t="s">
        <v>288</v>
      </c>
      <c r="C1" s="5" t="s">
        <v>289</v>
      </c>
      <c r="D1" s="5" t="s">
        <v>290</v>
      </c>
      <c r="E1" s="5" t="s">
        <v>291</v>
      </c>
      <c r="F1" s="5" t="s">
        <v>292</v>
      </c>
      <c r="G1" s="5" t="s">
        <v>293</v>
      </c>
      <c r="H1" s="5" t="s">
        <v>294</v>
      </c>
      <c r="I1" s="5" t="s">
        <v>295</v>
      </c>
      <c r="J1" s="5" t="s">
        <v>296</v>
      </c>
    </row>
    <row r="2" customFormat="false" ht="23.85" hidden="false" customHeight="false" outlineLevel="0" collapsed="false">
      <c r="A2" s="4" t="s">
        <v>97</v>
      </c>
      <c r="B2" s="4" t="s">
        <v>297</v>
      </c>
      <c r="C2" s="4" t="s">
        <v>298</v>
      </c>
      <c r="D2" s="4" t="s">
        <v>299</v>
      </c>
      <c r="E2" s="4" t="s">
        <v>103</v>
      </c>
      <c r="F2" s="4" t="s">
        <v>300</v>
      </c>
      <c r="G2" s="4" t="s">
        <v>301</v>
      </c>
      <c r="H2" s="4" t="s">
        <v>302</v>
      </c>
      <c r="I2" s="4" t="s">
        <v>303</v>
      </c>
      <c r="J2" s="4" t="s">
        <v>304</v>
      </c>
    </row>
    <row r="3" customFormat="false" ht="23.85" hidden="false" customHeight="false" outlineLevel="0" collapsed="false">
      <c r="A3" s="4" t="s">
        <v>97</v>
      </c>
      <c r="B3" s="4" t="s">
        <v>305</v>
      </c>
      <c r="C3" s="4" t="s">
        <v>306</v>
      </c>
      <c r="D3" s="4" t="s">
        <v>307</v>
      </c>
      <c r="E3" s="4" t="s">
        <v>308</v>
      </c>
      <c r="F3" s="4" t="s">
        <v>103</v>
      </c>
      <c r="G3" s="4" t="s">
        <v>309</v>
      </c>
      <c r="H3" s="4" t="s">
        <v>302</v>
      </c>
      <c r="I3" s="4" t="s">
        <v>310</v>
      </c>
      <c r="J3" s="4" t="s">
        <v>311</v>
      </c>
    </row>
    <row r="4" customFormat="false" ht="23.85" hidden="false" customHeight="false" outlineLevel="0" collapsed="false">
      <c r="A4" s="4" t="s">
        <v>97</v>
      </c>
      <c r="B4" s="4" t="s">
        <v>312</v>
      </c>
      <c r="C4" s="4" t="s">
        <v>313</v>
      </c>
      <c r="D4" s="4" t="s">
        <v>314</v>
      </c>
      <c r="E4" s="4" t="s">
        <v>103</v>
      </c>
      <c r="F4" s="4" t="s">
        <v>315</v>
      </c>
      <c r="G4" s="4" t="s">
        <v>316</v>
      </c>
      <c r="H4" s="4" t="s">
        <v>302</v>
      </c>
      <c r="I4" s="4" t="s">
        <v>317</v>
      </c>
      <c r="J4" s="4" t="s">
        <v>304</v>
      </c>
    </row>
    <row r="5" customFormat="false" ht="23.85" hidden="false" customHeight="false" outlineLevel="0" collapsed="false">
      <c r="A5" s="4" t="s">
        <v>97</v>
      </c>
      <c r="B5" s="4" t="s">
        <v>318</v>
      </c>
      <c r="C5" s="4" t="s">
        <v>119</v>
      </c>
      <c r="D5" s="4" t="s">
        <v>319</v>
      </c>
      <c r="E5" s="4" t="s">
        <v>103</v>
      </c>
      <c r="F5" s="4" t="s">
        <v>103</v>
      </c>
      <c r="G5" s="4" t="s">
        <v>302</v>
      </c>
      <c r="H5" s="4" t="s">
        <v>302</v>
      </c>
      <c r="I5" s="4" t="s">
        <v>320</v>
      </c>
      <c r="J5" s="4" t="s">
        <v>321</v>
      </c>
    </row>
    <row r="6" customFormat="false" ht="15" hidden="false" customHeight="false" outlineLevel="0" collapsed="false">
      <c r="A6" s="4" t="s">
        <v>97</v>
      </c>
      <c r="B6" s="4" t="s">
        <v>322</v>
      </c>
      <c r="C6" s="4" t="s">
        <v>119</v>
      </c>
      <c r="D6" s="4" t="s">
        <v>323</v>
      </c>
      <c r="E6" s="4" t="s">
        <v>103</v>
      </c>
      <c r="F6" s="4" t="s">
        <v>103</v>
      </c>
      <c r="G6" s="4" t="s">
        <v>302</v>
      </c>
      <c r="H6" s="4" t="s">
        <v>302</v>
      </c>
      <c r="I6" s="4" t="s">
        <v>320</v>
      </c>
      <c r="J6" s="4" t="s">
        <v>321</v>
      </c>
    </row>
    <row r="7" customFormat="false" ht="23.85" hidden="false" customHeight="false" outlineLevel="0" collapsed="false">
      <c r="A7" s="4" t="s">
        <v>66</v>
      </c>
      <c r="B7" s="4" t="s">
        <v>324</v>
      </c>
      <c r="C7" s="4" t="s">
        <v>139</v>
      </c>
      <c r="D7" s="4" t="s">
        <v>325</v>
      </c>
      <c r="E7" s="4" t="s">
        <v>103</v>
      </c>
      <c r="F7" s="4" t="s">
        <v>326</v>
      </c>
      <c r="G7" s="4" t="s">
        <v>327</v>
      </c>
      <c r="H7" s="4" t="s">
        <v>302</v>
      </c>
      <c r="I7" s="4" t="s">
        <v>328</v>
      </c>
      <c r="J7" s="4" t="s">
        <v>329</v>
      </c>
    </row>
    <row r="8" customFormat="false" ht="15" hidden="false" customHeight="false" outlineLevel="0" collapsed="false">
      <c r="A8" s="4" t="s">
        <v>66</v>
      </c>
      <c r="B8" s="4" t="s">
        <v>330</v>
      </c>
      <c r="C8" s="4" t="s">
        <v>139</v>
      </c>
      <c r="D8" s="4" t="s">
        <v>331</v>
      </c>
      <c r="E8" s="4" t="s">
        <v>103</v>
      </c>
      <c r="F8" s="4" t="s">
        <v>326</v>
      </c>
      <c r="G8" s="4" t="s">
        <v>332</v>
      </c>
      <c r="H8" s="4" t="s">
        <v>302</v>
      </c>
      <c r="I8" s="4" t="s">
        <v>317</v>
      </c>
      <c r="J8" s="4" t="s">
        <v>333</v>
      </c>
    </row>
    <row r="9" customFormat="false" ht="23.85" hidden="false" customHeight="false" outlineLevel="0" collapsed="false">
      <c r="A9" s="4" t="s">
        <v>66</v>
      </c>
      <c r="B9" s="7" t="s">
        <v>334</v>
      </c>
      <c r="C9" s="4" t="s">
        <v>335</v>
      </c>
      <c r="D9" s="4" t="s">
        <v>336</v>
      </c>
      <c r="E9" s="4" t="s">
        <v>103</v>
      </c>
      <c r="F9" s="4" t="s">
        <v>337</v>
      </c>
      <c r="G9" s="4" t="s">
        <v>338</v>
      </c>
      <c r="H9" s="4" t="s">
        <v>302</v>
      </c>
      <c r="I9" s="4" t="s">
        <v>339</v>
      </c>
      <c r="J9" s="4" t="s">
        <v>340</v>
      </c>
    </row>
    <row r="10" customFormat="false" ht="23.85" hidden="false" customHeight="false" outlineLevel="0" collapsed="false">
      <c r="A10" s="4" t="s">
        <v>66</v>
      </c>
      <c r="B10" s="4" t="s">
        <v>341</v>
      </c>
      <c r="C10" s="4" t="s">
        <v>342</v>
      </c>
      <c r="D10" s="4" t="s">
        <v>343</v>
      </c>
      <c r="E10" s="4" t="s">
        <v>103</v>
      </c>
      <c r="F10" s="4" t="s">
        <v>344</v>
      </c>
      <c r="G10" s="4" t="s">
        <v>345</v>
      </c>
      <c r="H10" s="4" t="s">
        <v>302</v>
      </c>
      <c r="I10" s="4" t="s">
        <v>346</v>
      </c>
      <c r="J10" s="4" t="s">
        <v>340</v>
      </c>
    </row>
    <row r="11" customFormat="false" ht="23.85" hidden="false" customHeight="false" outlineLevel="0" collapsed="false">
      <c r="A11" s="4" t="s">
        <v>66</v>
      </c>
      <c r="B11" s="7" t="s">
        <v>347</v>
      </c>
      <c r="C11" s="4" t="s">
        <v>335</v>
      </c>
      <c r="D11" s="4" t="s">
        <v>348</v>
      </c>
      <c r="E11" s="4" t="s">
        <v>103</v>
      </c>
      <c r="F11" s="4" t="s">
        <v>337</v>
      </c>
      <c r="G11" s="4" t="s">
        <v>349</v>
      </c>
      <c r="H11" s="4" t="s">
        <v>302</v>
      </c>
      <c r="I11" s="4" t="s">
        <v>350</v>
      </c>
      <c r="J11" s="4" t="s">
        <v>351</v>
      </c>
    </row>
    <row r="12" customFormat="false" ht="15" hidden="false" customHeight="false" outlineLevel="0" collapsed="false">
      <c r="A12" s="4" t="s">
        <v>66</v>
      </c>
      <c r="B12" s="4" t="s">
        <v>352</v>
      </c>
      <c r="C12" s="4" t="s">
        <v>139</v>
      </c>
      <c r="D12" s="4" t="s">
        <v>353</v>
      </c>
      <c r="E12" s="4" t="s">
        <v>103</v>
      </c>
      <c r="F12" s="4" t="s">
        <v>103</v>
      </c>
      <c r="G12" s="4" t="s">
        <v>354</v>
      </c>
      <c r="H12" s="4" t="s">
        <v>302</v>
      </c>
      <c r="I12" s="4" t="s">
        <v>355</v>
      </c>
      <c r="J12" s="4" t="s">
        <v>351</v>
      </c>
    </row>
    <row r="13" customFormat="false" ht="15" hidden="false" customHeight="false" outlineLevel="0" collapsed="false">
      <c r="A13" s="4" t="s">
        <v>66</v>
      </c>
      <c r="B13" s="4" t="s">
        <v>356</v>
      </c>
      <c r="C13" s="4" t="s">
        <v>139</v>
      </c>
      <c r="D13" s="4" t="s">
        <v>331</v>
      </c>
      <c r="E13" s="4" t="s">
        <v>103</v>
      </c>
      <c r="F13" s="4" t="s">
        <v>357</v>
      </c>
      <c r="G13" s="4" t="s">
        <v>332</v>
      </c>
      <c r="H13" s="4" t="s">
        <v>302</v>
      </c>
      <c r="I13" s="4" t="s">
        <v>355</v>
      </c>
      <c r="J13" s="4" t="s">
        <v>351</v>
      </c>
    </row>
    <row r="14" customFormat="false" ht="15" hidden="false" customHeight="false" outlineLevel="0" collapsed="false">
      <c r="A14" s="4" t="s">
        <v>66</v>
      </c>
      <c r="B14" s="4" t="s">
        <v>358</v>
      </c>
      <c r="C14" s="4" t="s">
        <v>359</v>
      </c>
      <c r="D14" s="4" t="s">
        <v>360</v>
      </c>
      <c r="E14" s="4" t="s">
        <v>103</v>
      </c>
      <c r="F14" s="4" t="s">
        <v>103</v>
      </c>
      <c r="G14" s="4" t="s">
        <v>302</v>
      </c>
      <c r="H14" s="4" t="s">
        <v>302</v>
      </c>
      <c r="I14" s="4" t="s">
        <v>361</v>
      </c>
      <c r="J14" s="4" t="s">
        <v>321</v>
      </c>
    </row>
    <row r="15" customFormat="false" ht="15" hidden="false" customHeight="false" outlineLevel="0" collapsed="false">
      <c r="A15" s="4" t="s">
        <v>66</v>
      </c>
      <c r="B15" s="4" t="s">
        <v>362</v>
      </c>
      <c r="C15" s="4" t="s">
        <v>363</v>
      </c>
      <c r="D15" s="4" t="s">
        <v>364</v>
      </c>
      <c r="E15" s="4" t="s">
        <v>103</v>
      </c>
      <c r="F15" s="4" t="s">
        <v>103</v>
      </c>
      <c r="G15" s="4" t="s">
        <v>332</v>
      </c>
      <c r="H15" s="4" t="s">
        <v>302</v>
      </c>
      <c r="I15" s="4" t="s">
        <v>355</v>
      </c>
      <c r="J15" s="4" t="s">
        <v>365</v>
      </c>
    </row>
    <row r="16" customFormat="false" ht="15" hidden="false" customHeight="false" outlineLevel="0" collapsed="false">
      <c r="A16" s="4" t="s">
        <v>66</v>
      </c>
      <c r="B16" s="4" t="s">
        <v>366</v>
      </c>
      <c r="C16" s="4" t="s">
        <v>367</v>
      </c>
      <c r="D16" s="4" t="s">
        <v>368</v>
      </c>
      <c r="E16" s="4" t="s">
        <v>103</v>
      </c>
      <c r="F16" s="4" t="s">
        <v>103</v>
      </c>
      <c r="G16" s="4" t="s">
        <v>332</v>
      </c>
      <c r="H16" s="4" t="s">
        <v>302</v>
      </c>
      <c r="I16" s="4" t="s">
        <v>355</v>
      </c>
      <c r="J16" s="4" t="s">
        <v>365</v>
      </c>
    </row>
    <row r="17" customFormat="false" ht="23.85" hidden="false" customHeight="false" outlineLevel="0" collapsed="false">
      <c r="A17" s="4" t="s">
        <v>164</v>
      </c>
      <c r="B17" s="4" t="s">
        <v>369</v>
      </c>
      <c r="C17" s="4" t="s">
        <v>370</v>
      </c>
      <c r="D17" s="4" t="s">
        <v>371</v>
      </c>
      <c r="E17" s="4" t="s">
        <v>103</v>
      </c>
      <c r="F17" s="4" t="s">
        <v>372</v>
      </c>
      <c r="G17" s="4" t="s">
        <v>373</v>
      </c>
      <c r="H17" s="4" t="s">
        <v>302</v>
      </c>
      <c r="I17" s="4" t="s">
        <v>374</v>
      </c>
      <c r="J17" s="4" t="s">
        <v>375</v>
      </c>
    </row>
    <row r="18" customFormat="false" ht="23.85" hidden="false" customHeight="false" outlineLevel="0" collapsed="false">
      <c r="A18" s="4" t="s">
        <v>164</v>
      </c>
      <c r="B18" s="4" t="s">
        <v>376</v>
      </c>
      <c r="C18" s="4" t="s">
        <v>377</v>
      </c>
      <c r="D18" s="4" t="s">
        <v>378</v>
      </c>
      <c r="E18" s="4" t="s">
        <v>103</v>
      </c>
      <c r="F18" s="4" t="s">
        <v>379</v>
      </c>
      <c r="G18" s="4" t="s">
        <v>380</v>
      </c>
      <c r="H18" s="4" t="s">
        <v>302</v>
      </c>
      <c r="I18" s="4" t="s">
        <v>339</v>
      </c>
      <c r="J18" s="4" t="s">
        <v>304</v>
      </c>
    </row>
    <row r="19" customFormat="false" ht="15" hidden="false" customHeight="false" outlineLevel="0" collapsed="false">
      <c r="A19" s="4" t="s">
        <v>164</v>
      </c>
      <c r="B19" s="4" t="s">
        <v>221</v>
      </c>
      <c r="C19" s="4" t="s">
        <v>381</v>
      </c>
      <c r="D19" s="4" t="s">
        <v>382</v>
      </c>
      <c r="E19" s="4" t="s">
        <v>103</v>
      </c>
      <c r="F19" s="4" t="s">
        <v>103</v>
      </c>
      <c r="G19" s="4" t="s">
        <v>345</v>
      </c>
      <c r="H19" s="4" t="s">
        <v>302</v>
      </c>
      <c r="I19" s="4" t="s">
        <v>383</v>
      </c>
      <c r="J19" s="4" t="s">
        <v>304</v>
      </c>
    </row>
    <row r="20" customFormat="false" ht="15" hidden="false" customHeight="false" outlineLevel="0" collapsed="false">
      <c r="A20" s="4" t="s">
        <v>164</v>
      </c>
      <c r="B20" s="7" t="s">
        <v>384</v>
      </c>
      <c r="C20" s="4" t="s">
        <v>385</v>
      </c>
      <c r="D20" s="4" t="s">
        <v>386</v>
      </c>
      <c r="E20" s="4" t="s">
        <v>103</v>
      </c>
      <c r="F20" s="4" t="s">
        <v>387</v>
      </c>
      <c r="G20" s="4" t="s">
        <v>345</v>
      </c>
      <c r="H20" s="4" t="s">
        <v>302</v>
      </c>
      <c r="I20" s="4" t="s">
        <v>388</v>
      </c>
      <c r="J20" s="4" t="s">
        <v>304</v>
      </c>
    </row>
    <row r="21" customFormat="false" ht="23.85" hidden="false" customHeight="false" outlineLevel="0" collapsed="false">
      <c r="A21" s="4" t="s">
        <v>164</v>
      </c>
      <c r="B21" s="4" t="s">
        <v>194</v>
      </c>
      <c r="C21" s="4" t="s">
        <v>389</v>
      </c>
      <c r="D21" s="4" t="s">
        <v>390</v>
      </c>
      <c r="E21" s="4" t="s">
        <v>103</v>
      </c>
      <c r="F21" s="4" t="s">
        <v>387</v>
      </c>
      <c r="G21" s="4" t="s">
        <v>391</v>
      </c>
      <c r="H21" s="4" t="s">
        <v>302</v>
      </c>
      <c r="I21" s="4" t="s">
        <v>339</v>
      </c>
      <c r="J21" s="4" t="s">
        <v>392</v>
      </c>
    </row>
    <row r="22" customFormat="false" ht="23.85" hidden="false" customHeight="false" outlineLevel="0" collapsed="false">
      <c r="A22" s="4" t="s">
        <v>164</v>
      </c>
      <c r="B22" s="4" t="s">
        <v>393</v>
      </c>
      <c r="C22" s="4" t="s">
        <v>377</v>
      </c>
      <c r="D22" s="4" t="s">
        <v>394</v>
      </c>
      <c r="E22" s="4" t="s">
        <v>103</v>
      </c>
      <c r="F22" s="4" t="s">
        <v>395</v>
      </c>
      <c r="G22" s="4" t="s">
        <v>396</v>
      </c>
      <c r="H22" s="4" t="s">
        <v>302</v>
      </c>
      <c r="I22" s="4" t="s">
        <v>383</v>
      </c>
      <c r="J22" s="4" t="s">
        <v>333</v>
      </c>
    </row>
    <row r="23" customFormat="false" ht="15" hidden="false" customHeight="false" outlineLevel="0" collapsed="false">
      <c r="A23" s="4" t="s">
        <v>164</v>
      </c>
      <c r="B23" s="4" t="s">
        <v>215</v>
      </c>
      <c r="C23" s="4" t="s">
        <v>397</v>
      </c>
      <c r="D23" s="4" t="s">
        <v>398</v>
      </c>
      <c r="E23" s="4" t="s">
        <v>103</v>
      </c>
      <c r="F23" s="4" t="s">
        <v>103</v>
      </c>
      <c r="G23" s="4" t="s">
        <v>302</v>
      </c>
      <c r="H23" s="4" t="s">
        <v>302</v>
      </c>
      <c r="I23" s="4" t="s">
        <v>383</v>
      </c>
      <c r="J23" s="4" t="s">
        <v>399</v>
      </c>
    </row>
    <row r="24" customFormat="false" ht="23.85" hidden="false" customHeight="false" outlineLevel="0" collapsed="false">
      <c r="A24" s="4" t="s">
        <v>164</v>
      </c>
      <c r="B24" s="4" t="s">
        <v>400</v>
      </c>
      <c r="C24" s="4" t="s">
        <v>377</v>
      </c>
      <c r="D24" s="4" t="s">
        <v>401</v>
      </c>
      <c r="E24" s="4" t="s">
        <v>103</v>
      </c>
      <c r="F24" s="4" t="s">
        <v>395</v>
      </c>
      <c r="G24" s="4" t="s">
        <v>302</v>
      </c>
      <c r="H24" s="4" t="s">
        <v>302</v>
      </c>
      <c r="I24" s="4" t="s">
        <v>383</v>
      </c>
      <c r="J24" s="4" t="s">
        <v>340</v>
      </c>
    </row>
    <row r="25" customFormat="false" ht="15" hidden="false" customHeight="false" outlineLevel="0" collapsed="false">
      <c r="A25" s="4" t="s">
        <v>164</v>
      </c>
      <c r="B25" s="4" t="s">
        <v>208</v>
      </c>
      <c r="C25" s="4" t="s">
        <v>402</v>
      </c>
      <c r="D25" s="4" t="s">
        <v>403</v>
      </c>
      <c r="E25" s="4" t="s">
        <v>103</v>
      </c>
      <c r="F25" s="4" t="s">
        <v>103</v>
      </c>
      <c r="G25" s="4" t="s">
        <v>302</v>
      </c>
      <c r="H25" s="4" t="s">
        <v>302</v>
      </c>
      <c r="I25" s="4" t="s">
        <v>404</v>
      </c>
      <c r="J25" s="4" t="s">
        <v>340</v>
      </c>
    </row>
    <row r="26" customFormat="false" ht="15" hidden="false" customHeight="false" outlineLevel="0" collapsed="false">
      <c r="A26" s="4" t="s">
        <v>164</v>
      </c>
      <c r="B26" s="4" t="s">
        <v>225</v>
      </c>
      <c r="C26" s="4" t="s">
        <v>405</v>
      </c>
      <c r="D26" s="4" t="s">
        <v>406</v>
      </c>
      <c r="E26" s="4" t="s">
        <v>103</v>
      </c>
      <c r="F26" s="4" t="s">
        <v>103</v>
      </c>
      <c r="G26" s="4" t="s">
        <v>302</v>
      </c>
      <c r="H26" s="4" t="s">
        <v>302</v>
      </c>
      <c r="I26" s="4" t="s">
        <v>355</v>
      </c>
      <c r="J26" s="4" t="s">
        <v>321</v>
      </c>
    </row>
    <row r="27" customFormat="false" ht="15" hidden="false" customHeight="false" outlineLevel="0" collapsed="false">
      <c r="A27" s="4" t="s">
        <v>164</v>
      </c>
      <c r="B27" s="4" t="s">
        <v>228</v>
      </c>
      <c r="C27" s="4" t="s">
        <v>407</v>
      </c>
      <c r="D27" s="4" t="s">
        <v>408</v>
      </c>
      <c r="E27" s="4" t="s">
        <v>103</v>
      </c>
      <c r="F27" s="4" t="s">
        <v>103</v>
      </c>
      <c r="G27" s="4" t="s">
        <v>302</v>
      </c>
      <c r="H27" s="4" t="s">
        <v>302</v>
      </c>
      <c r="I27" s="4" t="s">
        <v>355</v>
      </c>
      <c r="J27" s="4" t="s">
        <v>321</v>
      </c>
    </row>
    <row r="28" customFormat="false" ht="15" hidden="false" customHeight="false" outlineLevel="0" collapsed="false">
      <c r="A28" s="4" t="s">
        <v>164</v>
      </c>
      <c r="B28" s="4" t="s">
        <v>232</v>
      </c>
      <c r="C28" s="4" t="s">
        <v>409</v>
      </c>
      <c r="D28" s="4" t="s">
        <v>406</v>
      </c>
      <c r="E28" s="4" t="s">
        <v>103</v>
      </c>
      <c r="F28" s="4" t="s">
        <v>103</v>
      </c>
      <c r="G28" s="4" t="s">
        <v>302</v>
      </c>
      <c r="H28" s="4" t="s">
        <v>302</v>
      </c>
      <c r="I28" s="4" t="s">
        <v>355</v>
      </c>
      <c r="J28" s="4" t="s">
        <v>321</v>
      </c>
    </row>
    <row r="29" customFormat="false" ht="23.85" hidden="false" customHeight="false" outlineLevel="0" collapsed="false">
      <c r="A29" s="4" t="s">
        <v>233</v>
      </c>
      <c r="B29" s="4" t="s">
        <v>247</v>
      </c>
      <c r="C29" s="4" t="s">
        <v>410</v>
      </c>
      <c r="D29" s="4" t="s">
        <v>411</v>
      </c>
      <c r="E29" s="4" t="s">
        <v>103</v>
      </c>
      <c r="F29" s="4" t="s">
        <v>412</v>
      </c>
      <c r="G29" s="4" t="s">
        <v>413</v>
      </c>
      <c r="H29" s="4" t="s">
        <v>302</v>
      </c>
      <c r="I29" s="4" t="s">
        <v>414</v>
      </c>
      <c r="J29" s="4" t="s">
        <v>415</v>
      </c>
    </row>
    <row r="30" customFormat="false" ht="23.85" hidden="false" customHeight="false" outlineLevel="0" collapsed="false">
      <c r="A30" s="4" t="s">
        <v>233</v>
      </c>
      <c r="B30" s="4" t="s">
        <v>416</v>
      </c>
      <c r="C30" s="4" t="s">
        <v>417</v>
      </c>
      <c r="D30" s="4" t="s">
        <v>418</v>
      </c>
      <c r="E30" s="4" t="s">
        <v>103</v>
      </c>
      <c r="F30" s="4" t="s">
        <v>419</v>
      </c>
      <c r="G30" s="4" t="s">
        <v>420</v>
      </c>
      <c r="H30" s="4" t="s">
        <v>302</v>
      </c>
      <c r="I30" s="4" t="s">
        <v>421</v>
      </c>
      <c r="J30" s="4" t="s">
        <v>422</v>
      </c>
    </row>
    <row r="31" customFormat="false" ht="23.85" hidden="false" customHeight="false" outlineLevel="0" collapsed="false">
      <c r="A31" s="4" t="s">
        <v>233</v>
      </c>
      <c r="B31" s="4" t="s">
        <v>423</v>
      </c>
      <c r="C31" s="4" t="s">
        <v>424</v>
      </c>
      <c r="D31" s="4" t="s">
        <v>425</v>
      </c>
      <c r="E31" s="4" t="s">
        <v>103</v>
      </c>
      <c r="F31" s="4" t="s">
        <v>426</v>
      </c>
      <c r="G31" s="4" t="s">
        <v>345</v>
      </c>
      <c r="H31" s="4" t="s">
        <v>302</v>
      </c>
      <c r="I31" s="4" t="s">
        <v>383</v>
      </c>
      <c r="J31" s="4" t="s">
        <v>333</v>
      </c>
    </row>
    <row r="32" customFormat="false" ht="23.85" hidden="false" customHeight="false" outlineLevel="0" collapsed="false">
      <c r="A32" s="4" t="s">
        <v>233</v>
      </c>
      <c r="B32" s="7" t="s">
        <v>427</v>
      </c>
      <c r="C32" s="4" t="s">
        <v>424</v>
      </c>
      <c r="D32" s="4" t="s">
        <v>428</v>
      </c>
      <c r="E32" s="4" t="s">
        <v>103</v>
      </c>
      <c r="F32" s="4" t="s">
        <v>103</v>
      </c>
      <c r="G32" s="4" t="s">
        <v>429</v>
      </c>
      <c r="H32" s="4" t="s">
        <v>302</v>
      </c>
      <c r="I32" s="4" t="s">
        <v>430</v>
      </c>
      <c r="J32" s="4" t="s">
        <v>340</v>
      </c>
    </row>
    <row r="33" customFormat="false" ht="15" hidden="false" customHeight="false" outlineLevel="0" collapsed="false">
      <c r="A33" s="4" t="s">
        <v>233</v>
      </c>
      <c r="B33" s="4" t="s">
        <v>431</v>
      </c>
      <c r="C33" s="4" t="s">
        <v>424</v>
      </c>
      <c r="D33" s="4" t="s">
        <v>432</v>
      </c>
      <c r="E33" s="4" t="s">
        <v>103</v>
      </c>
      <c r="F33" s="4" t="s">
        <v>426</v>
      </c>
      <c r="G33" s="4" t="s">
        <v>302</v>
      </c>
      <c r="H33" s="4" t="s">
        <v>302</v>
      </c>
      <c r="I33" s="4" t="s">
        <v>355</v>
      </c>
      <c r="J33" s="4" t="s">
        <v>321</v>
      </c>
    </row>
    <row r="34" customFormat="false" ht="15" hidden="false" customHeight="false" outlineLevel="0" collapsed="false">
      <c r="A34" s="4" t="s">
        <v>233</v>
      </c>
      <c r="B34" s="4" t="s">
        <v>433</v>
      </c>
      <c r="C34" s="4" t="s">
        <v>424</v>
      </c>
      <c r="D34" s="4" t="s">
        <v>432</v>
      </c>
      <c r="E34" s="4" t="s">
        <v>103</v>
      </c>
      <c r="F34" s="4" t="s">
        <v>426</v>
      </c>
      <c r="G34" s="4" t="s">
        <v>302</v>
      </c>
      <c r="H34" s="4" t="s">
        <v>302</v>
      </c>
      <c r="I34" s="4" t="s">
        <v>355</v>
      </c>
      <c r="J34" s="4" t="s">
        <v>321</v>
      </c>
    </row>
    <row r="35" customFormat="false" ht="15" hidden="false" customHeight="false" outlineLevel="0" collapsed="false">
      <c r="A35" s="4" t="s">
        <v>233</v>
      </c>
      <c r="B35" s="4" t="s">
        <v>434</v>
      </c>
      <c r="C35" s="4" t="s">
        <v>424</v>
      </c>
      <c r="D35" s="4" t="s">
        <v>432</v>
      </c>
      <c r="E35" s="4" t="s">
        <v>103</v>
      </c>
      <c r="F35" s="4" t="s">
        <v>426</v>
      </c>
      <c r="G35" s="4" t="s">
        <v>302</v>
      </c>
      <c r="H35" s="4" t="s">
        <v>302</v>
      </c>
      <c r="I35" s="4" t="s">
        <v>355</v>
      </c>
      <c r="J35" s="4" t="s">
        <v>321</v>
      </c>
    </row>
    <row r="36" customFormat="false" ht="15" hidden="false" customHeight="false" outlineLevel="0" collapsed="false">
      <c r="A36" s="4" t="s">
        <v>233</v>
      </c>
      <c r="B36" s="4" t="s">
        <v>435</v>
      </c>
      <c r="C36" s="4" t="s">
        <v>424</v>
      </c>
      <c r="D36" s="4" t="s">
        <v>432</v>
      </c>
      <c r="E36" s="4" t="s">
        <v>103</v>
      </c>
      <c r="F36" s="4" t="s">
        <v>426</v>
      </c>
      <c r="G36" s="4" t="s">
        <v>302</v>
      </c>
      <c r="H36" s="4" t="s">
        <v>302</v>
      </c>
      <c r="I36" s="4" t="s">
        <v>355</v>
      </c>
      <c r="J36" s="4" t="s">
        <v>321</v>
      </c>
    </row>
    <row r="37" customFormat="false" ht="15" hidden="false" customHeight="false" outlineLevel="0" collapsed="false">
      <c r="A37" s="4" t="s">
        <v>233</v>
      </c>
      <c r="B37" s="4" t="s">
        <v>436</v>
      </c>
      <c r="C37" s="4" t="s">
        <v>424</v>
      </c>
      <c r="D37" s="4" t="s">
        <v>437</v>
      </c>
      <c r="E37" s="4" t="s">
        <v>103</v>
      </c>
      <c r="F37" s="4" t="s">
        <v>103</v>
      </c>
      <c r="G37" s="4" t="s">
        <v>302</v>
      </c>
      <c r="H37" s="4" t="s">
        <v>302</v>
      </c>
      <c r="I37" s="4" t="s">
        <v>438</v>
      </c>
      <c r="J37" s="4" t="s">
        <v>321</v>
      </c>
    </row>
    <row r="38" customFormat="false" ht="15" hidden="false" customHeight="false" outlineLevel="0" collapsed="false">
      <c r="A38" s="4" t="s">
        <v>233</v>
      </c>
      <c r="B38" s="4" t="s">
        <v>439</v>
      </c>
      <c r="C38" s="4" t="s">
        <v>424</v>
      </c>
      <c r="D38" s="4" t="s">
        <v>440</v>
      </c>
      <c r="E38" s="4" t="s">
        <v>103</v>
      </c>
      <c r="F38" s="4" t="s">
        <v>103</v>
      </c>
      <c r="G38" s="4" t="s">
        <v>302</v>
      </c>
      <c r="H38" s="4" t="s">
        <v>302</v>
      </c>
      <c r="I38" s="4" t="s">
        <v>361</v>
      </c>
      <c r="J38" s="4" t="s">
        <v>321</v>
      </c>
    </row>
    <row r="39" customFormat="false" ht="15" hidden="false" customHeight="false" outlineLevel="0" collapsed="false">
      <c r="A39" s="4" t="s">
        <v>233</v>
      </c>
      <c r="B39" s="7" t="s">
        <v>441</v>
      </c>
      <c r="C39" s="4" t="s">
        <v>417</v>
      </c>
      <c r="D39" s="4" t="s">
        <v>442</v>
      </c>
      <c r="E39" s="4" t="s">
        <v>103</v>
      </c>
      <c r="F39" s="4" t="s">
        <v>103</v>
      </c>
      <c r="G39" s="4" t="s">
        <v>302</v>
      </c>
      <c r="H39" s="4" t="s">
        <v>302</v>
      </c>
      <c r="I39" s="4" t="s">
        <v>404</v>
      </c>
      <c r="J39" s="4" t="s">
        <v>321</v>
      </c>
    </row>
    <row r="40" customFormat="false" ht="23.85" hidden="false" customHeight="false" outlineLevel="0" collapsed="false">
      <c r="A40" s="4" t="s">
        <v>233</v>
      </c>
      <c r="B40" s="7" t="s">
        <v>443</v>
      </c>
      <c r="C40" s="4" t="s">
        <v>417</v>
      </c>
      <c r="D40" s="4" t="s">
        <v>444</v>
      </c>
      <c r="E40" s="4" t="s">
        <v>103</v>
      </c>
      <c r="F40" s="4" t="s">
        <v>103</v>
      </c>
      <c r="G40" s="4" t="s">
        <v>302</v>
      </c>
      <c r="H40" s="4" t="s">
        <v>302</v>
      </c>
      <c r="I40" s="4" t="s">
        <v>445</v>
      </c>
      <c r="J40" s="4" t="s">
        <v>321</v>
      </c>
    </row>
    <row r="41" customFormat="false" ht="23.85" hidden="false" customHeight="false" outlineLevel="0" collapsed="false">
      <c r="A41" s="4" t="s">
        <v>64</v>
      </c>
      <c r="B41" s="4" t="s">
        <v>446</v>
      </c>
      <c r="C41" s="4" t="s">
        <v>447</v>
      </c>
      <c r="D41" s="4" t="s">
        <v>448</v>
      </c>
      <c r="E41" s="4" t="s">
        <v>103</v>
      </c>
      <c r="F41" s="4" t="s">
        <v>449</v>
      </c>
      <c r="G41" s="4" t="s">
        <v>450</v>
      </c>
      <c r="H41" s="4" t="s">
        <v>345</v>
      </c>
      <c r="I41" s="4" t="s">
        <v>451</v>
      </c>
      <c r="J41" s="4" t="s">
        <v>452</v>
      </c>
    </row>
    <row r="42" customFormat="false" ht="23.85" hidden="false" customHeight="false" outlineLevel="0" collapsed="false">
      <c r="A42" s="4" t="s">
        <v>64</v>
      </c>
      <c r="B42" s="7" t="s">
        <v>453</v>
      </c>
      <c r="C42" s="4" t="s">
        <v>454</v>
      </c>
      <c r="D42" s="4" t="s">
        <v>455</v>
      </c>
      <c r="E42" s="4" t="s">
        <v>456</v>
      </c>
      <c r="F42" s="4" t="s">
        <v>103</v>
      </c>
      <c r="G42" s="4" t="s">
        <v>457</v>
      </c>
      <c r="H42" s="4" t="s">
        <v>302</v>
      </c>
      <c r="I42" s="4" t="s">
        <v>458</v>
      </c>
      <c r="J42" s="4" t="s">
        <v>459</v>
      </c>
    </row>
    <row r="43" customFormat="false" ht="23.85" hidden="false" customHeight="false" outlineLevel="0" collapsed="false">
      <c r="A43" s="4" t="s">
        <v>64</v>
      </c>
      <c r="B43" s="4" t="s">
        <v>460</v>
      </c>
      <c r="C43" s="4" t="s">
        <v>461</v>
      </c>
      <c r="D43" s="4" t="s">
        <v>462</v>
      </c>
      <c r="E43" s="4" t="s">
        <v>103</v>
      </c>
      <c r="F43" s="4" t="s">
        <v>463</v>
      </c>
      <c r="G43" s="4" t="s">
        <v>464</v>
      </c>
      <c r="H43" s="4" t="s">
        <v>302</v>
      </c>
      <c r="I43" s="4" t="s">
        <v>383</v>
      </c>
      <c r="J43" s="4" t="s">
        <v>465</v>
      </c>
    </row>
    <row r="44" customFormat="false" ht="23.85" hidden="false" customHeight="false" outlineLevel="0" collapsed="false">
      <c r="A44" s="4" t="s">
        <v>64</v>
      </c>
      <c r="B44" s="4" t="s">
        <v>466</v>
      </c>
      <c r="C44" s="4" t="s">
        <v>467</v>
      </c>
      <c r="D44" s="4" t="s">
        <v>468</v>
      </c>
      <c r="E44" s="4" t="s">
        <v>103</v>
      </c>
      <c r="F44" s="4" t="s">
        <v>469</v>
      </c>
      <c r="G44" s="4" t="s">
        <v>302</v>
      </c>
      <c r="H44" s="4" t="s">
        <v>470</v>
      </c>
      <c r="I44" s="4" t="s">
        <v>355</v>
      </c>
      <c r="J44" s="4" t="s">
        <v>471</v>
      </c>
    </row>
    <row r="45" customFormat="false" ht="15" hidden="false" customHeight="false" outlineLevel="0" collapsed="false">
      <c r="A45" s="4" t="s">
        <v>64</v>
      </c>
      <c r="B45" s="4" t="s">
        <v>472</v>
      </c>
      <c r="C45" s="4" t="s">
        <v>454</v>
      </c>
      <c r="D45" s="4" t="s">
        <v>473</v>
      </c>
      <c r="E45" s="4" t="s">
        <v>103</v>
      </c>
      <c r="F45" s="4" t="s">
        <v>103</v>
      </c>
      <c r="G45" s="4" t="s">
        <v>302</v>
      </c>
      <c r="H45" s="4" t="s">
        <v>302</v>
      </c>
      <c r="I45" s="4" t="s">
        <v>355</v>
      </c>
      <c r="J45" s="4" t="s">
        <v>321</v>
      </c>
    </row>
  </sheetData>
  <autoFilter ref="A1:J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16"/>
    <col collapsed="false" customWidth="true" hidden="false" outlineLevel="0" max="7" min="6" style="0" width="52"/>
  </cols>
  <sheetData>
    <row r="1" customFormat="false" ht="17.35" hidden="false" customHeight="false" outlineLevel="0" collapsed="false">
      <c r="A1" s="1" t="s">
        <v>474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5" t="s">
        <v>84</v>
      </c>
      <c r="B2" s="5" t="s">
        <v>475</v>
      </c>
      <c r="C2" s="5" t="s">
        <v>476</v>
      </c>
      <c r="D2" s="5" t="s">
        <v>477</v>
      </c>
      <c r="E2" s="5" t="s">
        <v>478</v>
      </c>
      <c r="F2" s="5" t="s">
        <v>479</v>
      </c>
      <c r="G2" s="5" t="s">
        <v>96</v>
      </c>
    </row>
    <row r="3" customFormat="false" ht="23.85" hidden="false" customHeight="false" outlineLevel="0" collapsed="false">
      <c r="A3" s="4" t="s">
        <v>97</v>
      </c>
      <c r="B3" s="4" t="n">
        <f aca="false">COUNTIFS(Country_Centres!$A$2:$A$26,$A3,Country_Centres!$B$2:$B$26,1)</f>
        <v>0</v>
      </c>
      <c r="C3" s="4" t="n">
        <f aca="false">COUNTIFS(Country_Centres!$A$2:$A$26,$A3,Country_Centres!$B$2:$B$26,2)</f>
        <v>3</v>
      </c>
      <c r="D3" s="4" t="n">
        <f aca="false">COUNTIFS(Country_Centres!$A$2:$A$26,$A3,Country_Centres!$B$2:$B$26,3)</f>
        <v>0</v>
      </c>
      <c r="E3" s="4" t="n">
        <f aca="false">COUNTIFS(Country_Centres!$A$2:$A$26,$A3,Country_Centres!$B$2:$B$26,4)</f>
        <v>0</v>
      </c>
      <c r="F3" s="4" t="n">
        <f aca="false">SUM(B3:E3)</f>
        <v>3</v>
      </c>
      <c r="G3" s="4" t="s">
        <v>480</v>
      </c>
    </row>
    <row r="4" customFormat="false" ht="15" hidden="false" customHeight="false" outlineLevel="0" collapsed="false">
      <c r="A4" s="4" t="s">
        <v>66</v>
      </c>
      <c r="B4" s="4" t="n">
        <f aca="false">COUNTIFS(Country_Centres!$A$2:$A$26,$A4,Country_Centres!$B$2:$B$26,1)</f>
        <v>0</v>
      </c>
      <c r="C4" s="4" t="n">
        <f aca="false">COUNTIFS(Country_Centres!$A$2:$A$26,$A4,Country_Centres!$B$2:$B$26,2)</f>
        <v>3</v>
      </c>
      <c r="D4" s="4" t="n">
        <f aca="false">COUNTIFS(Country_Centres!$A$2:$A$26,$A4,Country_Centres!$B$2:$B$26,3)</f>
        <v>1</v>
      </c>
      <c r="E4" s="4" t="n">
        <f aca="false">COUNTIFS(Country_Centres!$A$2:$A$26,$A4,Country_Centres!$B$2:$B$26,4)</f>
        <v>0</v>
      </c>
      <c r="F4" s="4" t="n">
        <f aca="false">SUM(B4:E4)</f>
        <v>4</v>
      </c>
      <c r="G4" s="4" t="s">
        <v>481</v>
      </c>
    </row>
    <row r="5" customFormat="false" ht="15" hidden="false" customHeight="false" outlineLevel="0" collapsed="false">
      <c r="A5" s="4" t="s">
        <v>164</v>
      </c>
      <c r="B5" s="4" t="n">
        <f aca="false">COUNTIFS(Country_Centres!$A$2:$A$26,$A5,Country_Centres!$B$2:$B$26,1)</f>
        <v>1</v>
      </c>
      <c r="C5" s="4" t="n">
        <f aca="false">COUNTIFS(Country_Centres!$A$2:$A$26,$A5,Country_Centres!$B$2:$B$26,2)</f>
        <v>4</v>
      </c>
      <c r="D5" s="4" t="n">
        <f aca="false">COUNTIFS(Country_Centres!$A$2:$A$26,$A5,Country_Centres!$B$2:$B$26,3)</f>
        <v>6</v>
      </c>
      <c r="E5" s="4" t="n">
        <f aca="false">COUNTIFS(Country_Centres!$A$2:$A$26,$A5,Country_Centres!$B$2:$B$26,4)</f>
        <v>0</v>
      </c>
      <c r="F5" s="4" t="n">
        <f aca="false">SUM(B5:E5)</f>
        <v>11</v>
      </c>
      <c r="G5" s="4" t="s">
        <v>482</v>
      </c>
    </row>
    <row r="6" customFormat="false" ht="15" hidden="false" customHeight="false" outlineLevel="0" collapsed="false">
      <c r="A6" s="4" t="s">
        <v>233</v>
      </c>
      <c r="B6" s="4" t="n">
        <f aca="false">COUNTIFS(Country_Centres!$A$2:$A$26,$A6,Country_Centres!$B$2:$B$26,1)</f>
        <v>1</v>
      </c>
      <c r="C6" s="4" t="n">
        <f aca="false">COUNTIFS(Country_Centres!$A$2:$A$26,$A6,Country_Centres!$B$2:$B$26,2)</f>
        <v>3</v>
      </c>
      <c r="D6" s="4" t="n">
        <f aca="false">COUNTIFS(Country_Centres!$A$2:$A$26,$A6,Country_Centres!$B$2:$B$26,3)</f>
        <v>0</v>
      </c>
      <c r="E6" s="4" t="n">
        <f aca="false">COUNTIFS(Country_Centres!$A$2:$A$26,$A6,Country_Centres!$B$2:$B$26,4)</f>
        <v>0</v>
      </c>
      <c r="F6" s="4" t="n">
        <f aca="false">SUM(B6:E6)</f>
        <v>4</v>
      </c>
      <c r="G6" s="4" t="s">
        <v>483</v>
      </c>
    </row>
    <row r="7" customFormat="false" ht="15" hidden="false" customHeight="false" outlineLevel="0" collapsed="false">
      <c r="A7" s="4" t="s">
        <v>64</v>
      </c>
      <c r="B7" s="4" t="n">
        <f aca="false">COUNTIFS(Country_Centres!$A$2:$A$26,$A7,Country_Centres!$B$2:$B$26,1)</f>
        <v>1</v>
      </c>
      <c r="C7" s="4" t="n">
        <f aca="false">COUNTIFS(Country_Centres!$A$2:$A$26,$A7,Country_Centres!$B$2:$B$26,2)</f>
        <v>2</v>
      </c>
      <c r="D7" s="4" t="n">
        <f aca="false">COUNTIFS(Country_Centres!$A$2:$A$26,$A7,Country_Centres!$B$2:$B$26,3)</f>
        <v>0</v>
      </c>
      <c r="E7" s="4" t="n">
        <f aca="false">COUNTIFS(Country_Centres!$A$2:$A$26,$A7,Country_Centres!$B$2:$B$26,4)</f>
        <v>0</v>
      </c>
      <c r="F7" s="4" t="n">
        <f aca="false">SUM(B7:E7)</f>
        <v>3</v>
      </c>
      <c r="G7" s="4" t="s">
        <v>484</v>
      </c>
    </row>
    <row r="8" customFormat="false" ht="15" hidden="false" customHeight="false" outlineLevel="0" collapsed="false">
      <c r="A8" s="3" t="s">
        <v>485</v>
      </c>
      <c r="B8" s="3" t="n">
        <f aca="false">SUM(B3:B7)</f>
        <v>3</v>
      </c>
      <c r="C8" s="3" t="n">
        <f aca="false">SUM(C3:C7)</f>
        <v>15</v>
      </c>
      <c r="D8" s="3" t="n">
        <f aca="false">SUM(D3:D7)</f>
        <v>7</v>
      </c>
      <c r="E8" s="3" t="n">
        <f aca="false">SUM(E3:E7)</f>
        <v>0</v>
      </c>
      <c r="F8" s="3" t="n">
        <f aca="false">SUM(F3:F7)</f>
        <v>25</v>
      </c>
      <c r="G8" s="3"/>
    </row>
    <row r="10" customFormat="false" ht="17.35" hidden="false" customHeight="false" outlineLevel="0" collapsed="false">
      <c r="A10" s="1" t="s">
        <v>486</v>
      </c>
      <c r="B10" s="2"/>
      <c r="C10" s="2"/>
      <c r="D10" s="2"/>
      <c r="E10" s="2"/>
      <c r="F10" s="2"/>
      <c r="G10" s="2"/>
    </row>
    <row r="11" customFormat="false" ht="26.85" hidden="false" customHeight="false" outlineLevel="0" collapsed="false">
      <c r="A11" s="5" t="s">
        <v>84</v>
      </c>
      <c r="B11" s="5" t="s">
        <v>475</v>
      </c>
      <c r="C11" s="5" t="s">
        <v>476</v>
      </c>
      <c r="D11" s="5" t="s">
        <v>477</v>
      </c>
      <c r="E11" s="5" t="s">
        <v>479</v>
      </c>
      <c r="F11" s="5" t="s">
        <v>96</v>
      </c>
      <c r="G11" s="5"/>
    </row>
    <row r="12" customFormat="false" ht="15" hidden="false" customHeight="false" outlineLevel="0" collapsed="false">
      <c r="A12" s="4" t="s">
        <v>97</v>
      </c>
      <c r="B12" s="4" t="n">
        <f aca="false">COUNTIFS(KOL_Roster!$A$2:$A$45,$A12,KOL_Roster!$J$2:$J$45,"Tier 1*")</f>
        <v>0</v>
      </c>
      <c r="C12" s="4" t="n">
        <f aca="false">COUNTIFS(KOL_Roster!$A$2:$A$45,$A12,KOL_Roster!$J$2:$J$45,"Tier 2*")</f>
        <v>3</v>
      </c>
      <c r="D12" s="4" t="n">
        <f aca="false">COUNTIFS(KOL_Roster!$A$2:$A$45,$A12,KOL_Roster!$J$2:$J$45,"Tier 3*")</f>
        <v>2</v>
      </c>
      <c r="E12" s="4" t="n">
        <f aca="false">SUM(B12:D12)</f>
        <v>5</v>
      </c>
      <c r="F12" s="4" t="s">
        <v>487</v>
      </c>
    </row>
    <row r="13" customFormat="false" ht="15" hidden="false" customHeight="false" outlineLevel="0" collapsed="false">
      <c r="A13" s="4" t="s">
        <v>66</v>
      </c>
      <c r="B13" s="4" t="n">
        <f aca="false">COUNTIFS(KOL_Roster!$A$2:$A$45,$A13,KOL_Roster!$J$2:$J$45,"Tier 1*")</f>
        <v>0</v>
      </c>
      <c r="C13" s="4" t="n">
        <f aca="false">COUNTIFS(KOL_Roster!$A$2:$A$45,$A13,KOL_Roster!$J$2:$J$45,"Tier 2*")</f>
        <v>2</v>
      </c>
      <c r="D13" s="4" t="n">
        <f aca="false">COUNTIFS(KOL_Roster!$A$2:$A$45,$A13,KOL_Roster!$J$2:$J$45,"Tier 3*")</f>
        <v>8</v>
      </c>
      <c r="E13" s="4" t="n">
        <f aca="false">SUM(B13:D13)</f>
        <v>10</v>
      </c>
      <c r="F13" s="4" t="s">
        <v>488</v>
      </c>
    </row>
    <row r="14" customFormat="false" ht="15" hidden="false" customHeight="false" outlineLevel="0" collapsed="false">
      <c r="A14" s="4" t="s">
        <v>164</v>
      </c>
      <c r="B14" s="4" t="n">
        <f aca="false">COUNTIFS(KOL_Roster!$A$2:$A$45,$A14,KOL_Roster!$J$2:$J$45,"Tier 1*")</f>
        <v>0</v>
      </c>
      <c r="C14" s="4" t="n">
        <f aca="false">COUNTIFS(KOL_Roster!$A$2:$A$45,$A14,KOL_Roster!$J$2:$J$45,"Tier 2*")</f>
        <v>7</v>
      </c>
      <c r="D14" s="4" t="n">
        <f aca="false">COUNTIFS(KOL_Roster!$A$2:$A$45,$A14,KOL_Roster!$J$2:$J$45,"Tier 3*")</f>
        <v>5</v>
      </c>
      <c r="E14" s="4" t="n">
        <f aca="false">SUM(B14:D14)</f>
        <v>12</v>
      </c>
      <c r="F14" s="4" t="s">
        <v>489</v>
      </c>
    </row>
    <row r="15" customFormat="false" ht="15" hidden="false" customHeight="false" outlineLevel="0" collapsed="false">
      <c r="A15" s="4" t="s">
        <v>233</v>
      </c>
      <c r="B15" s="4" t="n">
        <f aca="false">COUNTIFS(KOL_Roster!$A$2:$A$45,$A15,KOL_Roster!$J$2:$J$45,"Tier 1*")</f>
        <v>0</v>
      </c>
      <c r="C15" s="4" t="n">
        <f aca="false">COUNTIFS(KOL_Roster!$A$2:$A$45,$A15,KOL_Roster!$J$2:$J$45,"Tier 2*")</f>
        <v>3</v>
      </c>
      <c r="D15" s="4" t="n">
        <f aca="false">COUNTIFS(KOL_Roster!$A$2:$A$45,$A15,KOL_Roster!$J$2:$J$45,"Tier 3*")</f>
        <v>9</v>
      </c>
      <c r="E15" s="4" t="n">
        <f aca="false">SUM(B15:D15)</f>
        <v>12</v>
      </c>
      <c r="F15" s="4" t="s">
        <v>490</v>
      </c>
    </row>
    <row r="16" customFormat="false" ht="15" hidden="false" customHeight="false" outlineLevel="0" collapsed="false">
      <c r="A16" s="4" t="s">
        <v>64</v>
      </c>
      <c r="B16" s="4" t="n">
        <f aca="false">COUNTIFS(KOL_Roster!$A$2:$A$45,$A16,KOL_Roster!$J$2:$J$45,"Tier 1*")</f>
        <v>0</v>
      </c>
      <c r="C16" s="4" t="n">
        <f aca="false">COUNTIFS(KOL_Roster!$A$2:$A$45,$A16,KOL_Roster!$J$2:$J$45,"Tier 2*")</f>
        <v>3</v>
      </c>
      <c r="D16" s="4" t="n">
        <f aca="false">COUNTIFS(KOL_Roster!$A$2:$A$45,$A16,KOL_Roster!$J$2:$J$45,"Tier 3*")</f>
        <v>2</v>
      </c>
      <c r="E16" s="4" t="n">
        <f aca="false">SUM(B16:D16)</f>
        <v>5</v>
      </c>
      <c r="F16" s="4" t="s">
        <v>491</v>
      </c>
    </row>
    <row r="17" customFormat="false" ht="15" hidden="false" customHeight="false" outlineLevel="0" collapsed="false">
      <c r="A17" s="3" t="s">
        <v>485</v>
      </c>
      <c r="B17" s="3" t="n">
        <f aca="false">SUM(B12:B16)</f>
        <v>0</v>
      </c>
      <c r="C17" s="3" t="n">
        <f aca="false">SUM(C12:C16)</f>
        <v>18</v>
      </c>
      <c r="D17" s="3" t="n">
        <f aca="false">SUM(D12:D16)</f>
        <v>26</v>
      </c>
      <c r="E17" s="3" t="n">
        <f aca="false">SUM(E12:E16)</f>
        <v>44</v>
      </c>
      <c r="F17" s="3"/>
    </row>
    <row r="19" customFormat="false" ht="17.35" hidden="false" customHeight="false" outlineLevel="0" collapsed="false">
      <c r="A19" s="1" t="s">
        <v>492</v>
      </c>
      <c r="B19" s="2"/>
      <c r="C19" s="2"/>
      <c r="D19" s="2"/>
      <c r="E19" s="2"/>
      <c r="F19" s="2"/>
      <c r="G19" s="2"/>
    </row>
    <row r="20" customFormat="false" ht="15" hidden="false" customHeight="false" outlineLevel="0" collapsed="false">
      <c r="A20" s="5" t="s">
        <v>493</v>
      </c>
      <c r="B20" s="5" t="s">
        <v>494</v>
      </c>
      <c r="C20" s="5"/>
      <c r="D20" s="5"/>
      <c r="E20" s="5"/>
      <c r="F20" s="5"/>
      <c r="G20" s="5"/>
    </row>
    <row r="21" customFormat="false" ht="15" hidden="false" customHeight="false" outlineLevel="0" collapsed="false">
      <c r="A21" s="4" t="s">
        <v>495</v>
      </c>
      <c r="B21" s="4" t="n">
        <f aca="false">COUNTIF(Country_Centres!H2:H26,"Yes*")+COUNTIF(Country_Centres!H2:H26,"Qualified*")</f>
        <v>2</v>
      </c>
    </row>
    <row r="22" customFormat="false" ht="15" hidden="false" customHeight="false" outlineLevel="0" collapsed="false">
      <c r="A22" s="4" t="s">
        <v>496</v>
      </c>
      <c r="B22" s="4" t="n">
        <f aca="false">COUNTIF(Country_Centres!I2:I26,"Yes*")</f>
        <v>17</v>
      </c>
    </row>
    <row r="23" customFormat="false" ht="15" hidden="false" customHeight="false" outlineLevel="0" collapsed="false">
      <c r="A23" s="4" t="s">
        <v>497</v>
      </c>
      <c r="B23" s="4" t="n">
        <f aca="false">COUNTIF(Country_Centres!I2:I26,"*ION582*")</f>
        <v>10</v>
      </c>
    </row>
    <row r="24" customFormat="false" ht="15" hidden="false" customHeight="false" outlineLevel="0" collapsed="false">
      <c r="A24" s="4" t="s">
        <v>498</v>
      </c>
      <c r="B24" s="4" t="n">
        <f aca="false">COUNTIF(Country_Centres!I2:I26,"*competitor*")</f>
        <v>12</v>
      </c>
    </row>
    <row r="25" customFormat="false" ht="15" hidden="false" customHeight="false" outlineLevel="0" collapsed="false">
      <c r="A25" s="4" t="s">
        <v>499</v>
      </c>
      <c r="B25" s="4" t="n">
        <f aca="false">COUNTIF(Country_Centres!J2:J26,"Coordinator*")</f>
        <v>3</v>
      </c>
    </row>
    <row r="26" customFormat="false" ht="15" hidden="false" customHeight="false" outlineLevel="0" collapsed="false">
      <c r="A26" s="4" t="s">
        <v>500</v>
      </c>
      <c r="B26" s="4" t="n">
        <f aca="false">COUNTIF(Country_Centres!J2:J26,"*Site*")</f>
        <v>14</v>
      </c>
    </row>
    <row r="27" customFormat="false" ht="15" hidden="false" customHeight="false" outlineLevel="0" collapsed="false">
      <c r="A27" s="4" t="s">
        <v>501</v>
      </c>
      <c r="B27" s="4" t="n">
        <f aca="false">COUNTIF(Country_Centres!K2:K26,"Yes*")+COUNTIF(Country_Centres!K2:K26,"National analogue*")</f>
        <v>5</v>
      </c>
    </row>
    <row r="28" customFormat="false" ht="15" hidden="false" customHeight="false" outlineLevel="0" collapsed="false">
      <c r="A28" s="4" t="s">
        <v>502</v>
      </c>
      <c r="B28" s="4" t="n">
        <f aca="false">COUNTIF(Country_Centres!L2:L26,"Yes*")</f>
        <v>5</v>
      </c>
    </row>
    <row r="29" customFormat="false" ht="15" hidden="false" customHeight="false" outlineLevel="0" collapsed="false">
      <c r="A29" s="4" t="s">
        <v>503</v>
      </c>
      <c r="B29" s="4" t="n">
        <f aca="false">COUNTIF(KOL_Roster!E2:E45,"Yes*")+COUNTIF(KOL_Roster!E2:E45,"Qualified*")</f>
        <v>2</v>
      </c>
    </row>
    <row r="30" customFormat="false" ht="15" hidden="false" customHeight="false" outlineLevel="0" collapsed="false">
      <c r="A30" s="4" t="s">
        <v>504</v>
      </c>
      <c r="B30" s="4" t="n">
        <f aca="false">COUNTIF(KOL_Roster!G2:G45,"*Nat Med*")+COUNTIF(KOL_Roster!G2:G45,"*HALOS*")</f>
        <v>3</v>
      </c>
    </row>
    <row r="31" customFormat="false" ht="15" hidden="false" customHeight="false" outlineLevel="0" collapsed="false">
      <c r="A31" s="4" t="s">
        <v>505</v>
      </c>
      <c r="B31" s="4" t="n">
        <f aca="false">COUNTA(KOL_Roster!G2:G45)-COUNTIF(KOL_Roster!G2:G45,"Not verified*")</f>
        <v>20</v>
      </c>
    </row>
    <row r="32" customFormat="false" ht="15" hidden="false" customHeight="false" outlineLevel="0" collapsed="false">
      <c r="A32" s="4" t="s">
        <v>506</v>
      </c>
      <c r="B32" s="4" t="n">
        <f aca="false">COUNTA(KOL_Roster!H2:H45)-COUNTIF(KOL_Roster!H2:H45,"Not verified*")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4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5" t="s">
        <v>507</v>
      </c>
      <c r="B1" s="5" t="s">
        <v>508</v>
      </c>
      <c r="C1" s="5" t="s">
        <v>509</v>
      </c>
      <c r="D1" s="5" t="s">
        <v>510</v>
      </c>
      <c r="E1" s="5" t="s">
        <v>511</v>
      </c>
    </row>
    <row r="2" customFormat="false" ht="35.05" hidden="false" customHeight="false" outlineLevel="0" collapsed="false">
      <c r="A2" s="4" t="s">
        <v>512</v>
      </c>
      <c r="B2" s="4" t="s">
        <v>513</v>
      </c>
      <c r="C2" s="4" t="s">
        <v>514</v>
      </c>
      <c r="D2" s="4" t="s">
        <v>515</v>
      </c>
      <c r="E2" s="4" t="s">
        <v>516</v>
      </c>
    </row>
    <row r="3" customFormat="false" ht="23.85" hidden="false" customHeight="false" outlineLevel="0" collapsed="false">
      <c r="A3" s="4" t="s">
        <v>512</v>
      </c>
      <c r="B3" s="4" t="s">
        <v>517</v>
      </c>
      <c r="C3" s="4" t="s">
        <v>518</v>
      </c>
      <c r="D3" s="4" t="s">
        <v>519</v>
      </c>
      <c r="E3" s="4" t="s">
        <v>520</v>
      </c>
    </row>
    <row r="4" customFormat="false" ht="23.85" hidden="false" customHeight="false" outlineLevel="0" collapsed="false">
      <c r="A4" s="4" t="s">
        <v>521</v>
      </c>
      <c r="B4" s="4" t="s">
        <v>522</v>
      </c>
      <c r="C4" s="4" t="s">
        <v>523</v>
      </c>
      <c r="D4" s="4" t="s">
        <v>524</v>
      </c>
      <c r="E4" s="4" t="s">
        <v>525</v>
      </c>
    </row>
    <row r="5" customFormat="false" ht="35.05" hidden="false" customHeight="false" outlineLevel="0" collapsed="false">
      <c r="A5" s="4" t="s">
        <v>526</v>
      </c>
      <c r="B5" s="4" t="s">
        <v>527</v>
      </c>
      <c r="C5" s="4" t="s">
        <v>528</v>
      </c>
      <c r="D5" s="4" t="s">
        <v>529</v>
      </c>
      <c r="E5" s="4" t="s">
        <v>530</v>
      </c>
    </row>
    <row r="6" customFormat="false" ht="23.85" hidden="false" customHeight="false" outlineLevel="0" collapsed="false">
      <c r="A6" s="4" t="s">
        <v>531</v>
      </c>
      <c r="B6" s="4" t="s">
        <v>532</v>
      </c>
      <c r="C6" s="4" t="s">
        <v>533</v>
      </c>
      <c r="D6" s="4" t="s">
        <v>534</v>
      </c>
      <c r="E6" s="4" t="s">
        <v>535</v>
      </c>
    </row>
    <row r="7" customFormat="false" ht="23.85" hidden="false" customHeight="false" outlineLevel="0" collapsed="false">
      <c r="A7" s="4" t="s">
        <v>536</v>
      </c>
      <c r="B7" s="4" t="s">
        <v>537</v>
      </c>
      <c r="C7" s="4" t="s">
        <v>538</v>
      </c>
      <c r="D7" s="4" t="s">
        <v>539</v>
      </c>
      <c r="E7" s="4" t="s">
        <v>540</v>
      </c>
    </row>
    <row r="8" customFormat="false" ht="46.25" hidden="false" customHeight="false" outlineLevel="0" collapsed="false">
      <c r="A8" s="4" t="s">
        <v>541</v>
      </c>
      <c r="B8" s="4" t="s">
        <v>542</v>
      </c>
      <c r="C8" s="4" t="s">
        <v>543</v>
      </c>
      <c r="D8" s="4" t="s">
        <v>544</v>
      </c>
      <c r="E8" s="4" t="s">
        <v>545</v>
      </c>
    </row>
    <row r="9" customFormat="false" ht="23.85" hidden="false" customHeight="false" outlineLevel="0" collapsed="false">
      <c r="A9" s="4" t="s">
        <v>546</v>
      </c>
      <c r="B9" s="4" t="s">
        <v>547</v>
      </c>
      <c r="C9" s="4" t="s">
        <v>548</v>
      </c>
      <c r="D9" s="4" t="s">
        <v>549</v>
      </c>
      <c r="E9" s="4" t="s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8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5" t="s">
        <v>551</v>
      </c>
      <c r="B1" s="5" t="s">
        <v>552</v>
      </c>
      <c r="C1" s="5" t="s">
        <v>553</v>
      </c>
    </row>
    <row r="2" customFormat="false" ht="15" hidden="false" customHeight="false" outlineLevel="0" collapsed="false">
      <c r="A2" s="4" t="s">
        <v>554</v>
      </c>
      <c r="B2" s="9" t="s">
        <v>555</v>
      </c>
      <c r="C2" s="4" t="s">
        <v>556</v>
      </c>
    </row>
    <row r="3" customFormat="false" ht="15" hidden="false" customHeight="false" outlineLevel="0" collapsed="false">
      <c r="A3" s="4" t="s">
        <v>557</v>
      </c>
      <c r="B3" s="9" t="s">
        <v>558</v>
      </c>
      <c r="C3" s="4" t="s">
        <v>559</v>
      </c>
    </row>
    <row r="4" customFormat="false" ht="15" hidden="false" customHeight="false" outlineLevel="0" collapsed="false">
      <c r="A4" s="4" t="s">
        <v>560</v>
      </c>
      <c r="B4" s="9" t="s">
        <v>561</v>
      </c>
      <c r="C4" s="4" t="s">
        <v>562</v>
      </c>
    </row>
    <row r="5" customFormat="false" ht="15" hidden="false" customHeight="false" outlineLevel="0" collapsed="false">
      <c r="A5" s="4" t="s">
        <v>563</v>
      </c>
      <c r="B5" s="9" t="s">
        <v>564</v>
      </c>
      <c r="C5" s="4" t="s">
        <v>565</v>
      </c>
    </row>
    <row r="6" customFormat="false" ht="15" hidden="false" customHeight="false" outlineLevel="0" collapsed="false">
      <c r="A6" s="4" t="s">
        <v>566</v>
      </c>
      <c r="B6" s="9" t="s">
        <v>567</v>
      </c>
      <c r="C6" s="4" t="s">
        <v>568</v>
      </c>
    </row>
    <row r="7" customFormat="false" ht="15" hidden="false" customHeight="false" outlineLevel="0" collapsed="false">
      <c r="A7" s="4" t="s">
        <v>569</v>
      </c>
      <c r="B7" s="9" t="s">
        <v>570</v>
      </c>
      <c r="C7" s="4" t="s">
        <v>571</v>
      </c>
    </row>
    <row r="8" customFormat="false" ht="23.85" hidden="false" customHeight="false" outlineLevel="0" collapsed="false">
      <c r="A8" s="4" t="s">
        <v>572</v>
      </c>
      <c r="B8" s="9" t="s">
        <v>573</v>
      </c>
      <c r="C8" s="4" t="s">
        <v>574</v>
      </c>
    </row>
    <row r="9" customFormat="false" ht="15" hidden="false" customHeight="false" outlineLevel="0" collapsed="false">
      <c r="A9" s="4" t="s">
        <v>575</v>
      </c>
      <c r="B9" s="9" t="s">
        <v>576</v>
      </c>
      <c r="C9" s="4" t="s">
        <v>577</v>
      </c>
    </row>
    <row r="10" customFormat="false" ht="15" hidden="false" customHeight="false" outlineLevel="0" collapsed="false">
      <c r="A10" s="4" t="s">
        <v>578</v>
      </c>
      <c r="B10" s="9" t="s">
        <v>579</v>
      </c>
      <c r="C10" s="4" t="s">
        <v>580</v>
      </c>
    </row>
    <row r="11" customFormat="false" ht="15" hidden="false" customHeight="false" outlineLevel="0" collapsed="false">
      <c r="A11" s="4" t="s">
        <v>581</v>
      </c>
      <c r="B11" s="9" t="s">
        <v>582</v>
      </c>
      <c r="C11" s="4" t="s">
        <v>583</v>
      </c>
    </row>
    <row r="12" customFormat="false" ht="15" hidden="false" customHeight="false" outlineLevel="0" collapsed="false">
      <c r="A12" s="4" t="s">
        <v>584</v>
      </c>
      <c r="B12" s="9" t="s">
        <v>585</v>
      </c>
      <c r="C12" s="4" t="s">
        <v>586</v>
      </c>
    </row>
    <row r="13" customFormat="false" ht="15" hidden="false" customHeight="false" outlineLevel="0" collapsed="false">
      <c r="A13" s="4" t="s">
        <v>587</v>
      </c>
      <c r="B13" s="9" t="s">
        <v>588</v>
      </c>
      <c r="C13" s="4" t="s">
        <v>589</v>
      </c>
    </row>
    <row r="14" customFormat="false" ht="15" hidden="false" customHeight="false" outlineLevel="0" collapsed="false">
      <c r="A14" s="4" t="s">
        <v>590</v>
      </c>
      <c r="B14" s="9" t="s">
        <v>591</v>
      </c>
      <c r="C14" s="4" t="s">
        <v>592</v>
      </c>
    </row>
    <row r="15" customFormat="false" ht="15" hidden="false" customHeight="false" outlineLevel="0" collapsed="false">
      <c r="A15" s="4" t="s">
        <v>593</v>
      </c>
      <c r="B15" s="9" t="s">
        <v>594</v>
      </c>
      <c r="C15" s="4" t="s">
        <v>595</v>
      </c>
    </row>
    <row r="16" customFormat="false" ht="15" hidden="false" customHeight="false" outlineLevel="0" collapsed="false">
      <c r="A16" s="4" t="s">
        <v>596</v>
      </c>
      <c r="B16" s="9" t="s">
        <v>597</v>
      </c>
      <c r="C16" s="4" t="s">
        <v>598</v>
      </c>
    </row>
    <row r="17" customFormat="false" ht="15" hidden="false" customHeight="false" outlineLevel="0" collapsed="false">
      <c r="A17" s="4" t="s">
        <v>599</v>
      </c>
      <c r="B17" s="9" t="s">
        <v>600</v>
      </c>
      <c r="C17" s="4" t="s">
        <v>580</v>
      </c>
    </row>
    <row r="18" customFormat="false" ht="15" hidden="false" customHeight="false" outlineLevel="0" collapsed="false">
      <c r="A18" s="4" t="s">
        <v>601</v>
      </c>
      <c r="B18" s="9" t="s">
        <v>602</v>
      </c>
      <c r="C18" s="4" t="s">
        <v>603</v>
      </c>
    </row>
    <row r="19" customFormat="false" ht="15" hidden="false" customHeight="false" outlineLevel="0" collapsed="false">
      <c r="A19" s="4" t="s">
        <v>604</v>
      </c>
      <c r="B19" s="9" t="s">
        <v>605</v>
      </c>
      <c r="C19" s="4" t="s">
        <v>606</v>
      </c>
    </row>
    <row r="20" customFormat="false" ht="15" hidden="false" customHeight="false" outlineLevel="0" collapsed="false">
      <c r="A20" s="4" t="s">
        <v>607</v>
      </c>
      <c r="B20" s="9" t="s">
        <v>608</v>
      </c>
      <c r="C20" s="4" t="s">
        <v>609</v>
      </c>
    </row>
    <row r="21" customFormat="false" ht="15" hidden="false" customHeight="false" outlineLevel="0" collapsed="false">
      <c r="A21" s="4" t="s">
        <v>610</v>
      </c>
      <c r="B21" s="9" t="s">
        <v>611</v>
      </c>
      <c r="C21" s="4" t="s">
        <v>612</v>
      </c>
    </row>
    <row r="22" customFormat="false" ht="15" hidden="false" customHeight="false" outlineLevel="0" collapsed="false">
      <c r="A22" s="4" t="s">
        <v>613</v>
      </c>
      <c r="B22" s="9" t="s">
        <v>614</v>
      </c>
      <c r="C22" s="4" t="s">
        <v>615</v>
      </c>
    </row>
    <row r="23" customFormat="false" ht="15" hidden="false" customHeight="false" outlineLevel="0" collapsed="false">
      <c r="A23" s="4" t="s">
        <v>616</v>
      </c>
      <c r="B23" s="9" t="s">
        <v>617</v>
      </c>
      <c r="C23" s="4" t="s">
        <v>618</v>
      </c>
    </row>
    <row r="24" customFormat="false" ht="15" hidden="false" customHeight="false" outlineLevel="0" collapsed="false">
      <c r="A24" s="4" t="s">
        <v>619</v>
      </c>
      <c r="B24" s="9" t="s">
        <v>620</v>
      </c>
      <c r="C24" s="4" t="s">
        <v>621</v>
      </c>
    </row>
    <row r="25" customFormat="false" ht="15" hidden="false" customHeight="false" outlineLevel="0" collapsed="false">
      <c r="A25" s="4" t="s">
        <v>622</v>
      </c>
      <c r="B25" s="9" t="s">
        <v>623</v>
      </c>
      <c r="C25" s="4" t="s">
        <v>624</v>
      </c>
    </row>
    <row r="26" customFormat="false" ht="15" hidden="false" customHeight="false" outlineLevel="0" collapsed="false">
      <c r="A26" s="4" t="s">
        <v>625</v>
      </c>
      <c r="B26" s="9" t="s">
        <v>626</v>
      </c>
      <c r="C26" s="4" t="s">
        <v>627</v>
      </c>
    </row>
    <row r="27" customFormat="false" ht="15" hidden="false" customHeight="false" outlineLevel="0" collapsed="false">
      <c r="A27" s="4" t="s">
        <v>628</v>
      </c>
      <c r="B27" s="9" t="s">
        <v>629</v>
      </c>
      <c r="C27" s="4" t="s">
        <v>630</v>
      </c>
    </row>
    <row r="28" customFormat="false" ht="15" hidden="false" customHeight="false" outlineLevel="0" collapsed="false">
      <c r="A28" s="4" t="s">
        <v>631</v>
      </c>
      <c r="B28" s="9" t="s">
        <v>632</v>
      </c>
      <c r="C28" s="4" t="s">
        <v>633</v>
      </c>
    </row>
    <row r="29" customFormat="false" ht="15" hidden="false" customHeight="false" outlineLevel="0" collapsed="false">
      <c r="A29" s="4" t="s">
        <v>634</v>
      </c>
      <c r="B29" s="9" t="s">
        <v>635</v>
      </c>
      <c r="C29" s="4" t="s">
        <v>636</v>
      </c>
    </row>
    <row r="30" customFormat="false" ht="15" hidden="false" customHeight="false" outlineLevel="0" collapsed="false">
      <c r="A30" s="4" t="s">
        <v>637</v>
      </c>
      <c r="B30" s="9" t="s">
        <v>638</v>
      </c>
      <c r="C30" s="4" t="s">
        <v>639</v>
      </c>
    </row>
    <row r="31" customFormat="false" ht="15" hidden="false" customHeight="false" outlineLevel="0" collapsed="false">
      <c r="A31" s="4" t="s">
        <v>640</v>
      </c>
      <c r="B31" s="9" t="s">
        <v>641</v>
      </c>
      <c r="C31" s="4" t="s">
        <v>358</v>
      </c>
    </row>
    <row r="32" customFormat="false" ht="15" hidden="false" customHeight="false" outlineLevel="0" collapsed="false">
      <c r="A32" s="4" t="s">
        <v>642</v>
      </c>
      <c r="B32" s="9" t="s">
        <v>643</v>
      </c>
      <c r="C32" s="4" t="s">
        <v>644</v>
      </c>
    </row>
    <row r="33" customFormat="false" ht="15" hidden="false" customHeight="false" outlineLevel="0" collapsed="false">
      <c r="A33" s="4" t="s">
        <v>645</v>
      </c>
      <c r="B33" s="9" t="s">
        <v>646</v>
      </c>
      <c r="C33" s="4" t="s">
        <v>647</v>
      </c>
    </row>
    <row r="34" customFormat="false" ht="15" hidden="false" customHeight="false" outlineLevel="0" collapsed="false">
      <c r="A34" s="4" t="s">
        <v>648</v>
      </c>
      <c r="B34" s="9" t="s">
        <v>649</v>
      </c>
      <c r="C34" s="4" t="s">
        <v>650</v>
      </c>
    </row>
    <row r="35" customFormat="false" ht="15" hidden="false" customHeight="false" outlineLevel="0" collapsed="false">
      <c r="A35" s="4" t="s">
        <v>651</v>
      </c>
      <c r="B35" s="9" t="s">
        <v>652</v>
      </c>
      <c r="C35" s="4" t="s">
        <v>653</v>
      </c>
    </row>
    <row r="36" customFormat="false" ht="15" hidden="false" customHeight="false" outlineLevel="0" collapsed="false">
      <c r="A36" s="4" t="s">
        <v>654</v>
      </c>
      <c r="B36" s="9" t="s">
        <v>655</v>
      </c>
      <c r="C36" s="4" t="s">
        <v>656</v>
      </c>
    </row>
    <row r="37" customFormat="false" ht="15" hidden="false" customHeight="false" outlineLevel="0" collapsed="false">
      <c r="A37" s="4" t="s">
        <v>657</v>
      </c>
      <c r="B37" s="9" t="s">
        <v>658</v>
      </c>
      <c r="C37" s="4" t="s">
        <v>659</v>
      </c>
    </row>
    <row r="38" customFormat="false" ht="15" hidden="false" customHeight="false" outlineLevel="0" collapsed="false">
      <c r="A38" s="4" t="s">
        <v>660</v>
      </c>
      <c r="B38" s="9" t="s">
        <v>661</v>
      </c>
      <c r="C38" s="4" t="s">
        <v>662</v>
      </c>
    </row>
    <row r="40" customFormat="false" ht="17.35" hidden="false" customHeight="false" outlineLevel="0" collapsed="false">
      <c r="A40" s="1" t="s">
        <v>663</v>
      </c>
      <c r="B40" s="2"/>
      <c r="C40" s="2"/>
    </row>
    <row r="41" customFormat="false" ht="15" hidden="false" customHeight="true" outlineLevel="0" collapsed="false">
      <c r="A41" s="3" t="s">
        <v>664</v>
      </c>
      <c r="B41" s="4" t="s">
        <v>665</v>
      </c>
      <c r="C41" s="4"/>
    </row>
    <row r="42" customFormat="false" ht="15" hidden="false" customHeight="true" outlineLevel="0" collapsed="false">
      <c r="A42" s="3" t="s">
        <v>666</v>
      </c>
      <c r="B42" s="4" t="s">
        <v>667</v>
      </c>
      <c r="C42" s="4"/>
    </row>
    <row r="43" customFormat="false" ht="15" hidden="false" customHeight="true" outlineLevel="0" collapsed="false">
      <c r="A43" s="3" t="s">
        <v>668</v>
      </c>
      <c r="B43" s="4" t="s">
        <v>669</v>
      </c>
      <c r="C43" s="4"/>
    </row>
    <row r="44" customFormat="false" ht="15" hidden="false" customHeight="true" outlineLevel="0" collapsed="false">
      <c r="A44" s="3" t="s">
        <v>670</v>
      </c>
      <c r="B44" s="4" t="s">
        <v>671</v>
      </c>
      <c r="C44" s="4"/>
    </row>
    <row r="45" customFormat="false" ht="15" hidden="false" customHeight="true" outlineLevel="0" collapsed="false">
      <c r="A45" s="3" t="s">
        <v>478</v>
      </c>
      <c r="B45" s="4" t="s">
        <v>672</v>
      </c>
      <c r="C45" s="4"/>
    </row>
    <row r="46" customFormat="false" ht="15" hidden="false" customHeight="true" outlineLevel="0" collapsed="false">
      <c r="A46" s="3" t="s">
        <v>673</v>
      </c>
      <c r="B46" s="4" t="s">
        <v>674</v>
      </c>
      <c r="C46" s="4"/>
    </row>
    <row r="47" customFormat="false" ht="15" hidden="false" customHeight="true" outlineLevel="0" collapsed="false">
      <c r="A47" s="3" t="s">
        <v>675</v>
      </c>
      <c r="B47" s="4" t="s">
        <v>676</v>
      </c>
      <c r="C47" s="4"/>
    </row>
    <row r="48" customFormat="false" ht="23.85" hidden="false" customHeight="true" outlineLevel="0" collapsed="false">
      <c r="A48" s="3" t="s">
        <v>677</v>
      </c>
      <c r="B48" s="4" t="s">
        <v>678</v>
      </c>
      <c r="C48" s="4"/>
    </row>
  </sheetData>
  <mergeCells count="8">
    <mergeCell ref="B41:C41"/>
    <mergeCell ref="B42:C42"/>
    <mergeCell ref="B43:C43"/>
    <mergeCell ref="B44:C44"/>
    <mergeCell ref="B45:C45"/>
    <mergeCell ref="B46:C46"/>
    <mergeCell ref="B47:C47"/>
    <mergeCell ref="B48:C48"/>
  </mergeCells>
  <hyperlinks>
    <hyperlink ref="B2" r:id="rId1" display="https://doi.org/10.1002/mgg3.1843"/>
    <hyperlink ref="B3" r:id="rId2" display="https://europepmc.org/articles/PMC8922964/"/>
    <hyperlink ref="B4" r:id="rId3" display="https://www.has-sante.fr/jcms/p_3300847/fr/syndrome-d-angelman"/>
    <hyperlink ref="B5" r:id="rId4" display="https://www.has-sante.fr/upload/docs/application/pdf/2021-11/argumentaire_pnds_angelman_vf.pdf"/>
    <hyperlink ref="B6" r:id="rId5" display="https://www.nature.com/articles/s41591-025-03784-7"/>
    <hyperlink ref="B7" r:id="rId6" display="https://www.baylorgenetics.com/publication/the-ube3a-ats-antisense-oligonucleotide-rugonersen-in-children-with-angelman-syndrome-a-phase-1-trial/"/>
    <hyperlink ref="B8" r:id="rId7" display="https://www.thieme-connect.com/products/ejournals/pdf/10.1055/a-2399-0191.pdf"/>
    <hyperlink ref="B9" r:id="rId8" display="https://clinicaltrials.gov/study/NCT05127226"/>
    <hyperlink ref="B10" r:id="rId9" display="https://ichgcp.net/clinical-trials-registry/NCT05127226"/>
    <hyperlink ref="B11" r:id="rId10" display="https://clinicaltrials.gov/study/NCT06914609"/>
    <hyperlink ref="B12" r:id="rId11" display="https://eichor.com/study/NCT06914609"/>
    <hyperlink ref="B13" r:id="rId12" display="https://angelman.org/wp-content/uploads/2026/04/Ionis-REVEAL-sites-EU_community-letter.pdf"/>
    <hyperlink ref="B14" r:id="rId13" display="https://angelman.org/wp-content/uploads/2026/07/Ionis-update-REVEAL-July2026.pdf"/>
    <hyperlink ref="B15" r:id="rId14" display="https://sindromediangelman.org/wp-content/uploads/2026/05/PA-IT-AS-260001-Community-Statement-REVEAL-Opens-in-Italy-052626.pdf"/>
    <hyperlink ref="B16" r:id="rId15" display="https://clinicaltrials.gov/study/NCT06617429"/>
    <hyperlink ref="B17" r:id="rId16" display="https://ichgcp.net/clinical-trials-registry/NCT06617429"/>
    <hyperlink ref="B18" r:id="rId17" display="https://ir.ultragenyx.com/news-releases/news-release-details/ultragenyx-announces-phase-3-aspire-results-angelman-syndrome"/>
    <hyperlink ref="B19" r:id="rId18" display="https://ichgcp.net/clinical-trials-registry/NCT07157254"/>
    <hyperlink ref="B20" r:id="rId19" display="https://ichgcp.net/de/clinical-trials-registry/NCT04259281"/>
    <hyperlink ref="B21" r:id="rId20" display="https://www.oakhillbio.com/news/oak-hill-bio-announces-publication-of-rugonersen-phase-1-study-results-in-nature-medicine"/>
    <hyperlink ref="B22" r:id="rId21" display="https://clinicaltrials.gov/study/NCT07605429"/>
    <hyperlink ref="B23" r:id="rId22" display="https://cureangelman.org.uk/our-work/oxford-natural-history-study/"/>
    <hyperlink ref="B24" r:id="rId23" display="https://www.aboutpharma.com/scienza-ricerca/malattie-rare-sindrome-di-angelman-a-pisa-primi-test-al-mondo-per-valutare-sicurezza-di-un-nucleotide-antinsenso/"/>
    <hyperlink ref="B25" r:id="rId24" display="https://maladiesrares-necker.aphp.fr/defisciences-rett/"/>
    <hyperlink ref="B26" r:id="rId25" display="https://fr.ap-hm.fr/service/neurologie-pediatrique-hopital-timone"/>
    <hyperlink ref="B27" r:id="rId26" display="https://www.tauli.cat/es/actualitat/noticia/2025/03/el-parc-tauli-primer-centre-assistencial-a-lestat-reconegut-internacionalment-com-a-hospital-expert-en-labordatge-de-la-sindrome-dangelman/"/>
    <hyperlink ref="B28" r:id="rId27" display="https://angelman.org/asf-clinics/parc-tauli/"/>
    <hyperlink ref="B29" r:id="rId28" display="https://cureangelman.es/comite-cientifico"/>
    <hyperlink ref="B30" r:id="rId29" display="https://noticias.madrid/beca-de-investigacion-impulsa-avances-en-el-estudio-de-la-enfermedad-de-angelman-en-el-hospital-puerta-de-hierro/"/>
    <hyperlink ref="B31" r:id="rId30" display="https://www.orpha.net/en/expert-centres/centre/692003?name=Angelman%20syndrome&amp;consulting=medical&amp;age=all&amp;official=0"/>
    <hyperlink ref="B32" r:id="rId31" display="https://sindromediangelman.org/centri-sintrome-di-angelman/"/>
    <hyperlink ref="B33" r:id="rId32" display="https://www.malattierare.gov.it/centri_cura/per_malattia/49/130"/>
    <hyperlink ref="B34" r:id="rId33" display="https://www.angelmanuk.org/about/experts/"/>
    <hyperlink ref="B35" r:id="rId34" display="https://www.uke.de/kliniken-institute/kliniken/kinder-und-jugendmedizin/forschung/klinische-forschung/neurop%C3%A4diatrie.html"/>
    <hyperlink ref="B36" r:id="rId35" display="https://angelman.org/news-blog/international-clinic-network/"/>
    <hyperlink ref="B37" r:id="rId36" display="https://angelman.org/clinical-trials/"/>
    <hyperlink ref="B38" r:id="rId37" display="https://dna-diagnostik.hamburg/analysespektrum/angelman-syndr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8"/>
    <col collapsed="false" customWidth="true" hidden="false" outlineLevel="0" max="5" min="5" style="0" width="60"/>
    <col collapsed="false" customWidth="true" hidden="false" outlineLevel="0" max="6" min="6" style="0" width="40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5" t="s">
        <v>679</v>
      </c>
      <c r="B1" s="5" t="s">
        <v>680</v>
      </c>
      <c r="C1" s="5" t="s">
        <v>681</v>
      </c>
      <c r="D1" s="5" t="s">
        <v>682</v>
      </c>
      <c r="E1" s="5" t="s">
        <v>683</v>
      </c>
      <c r="F1" s="5" t="s">
        <v>684</v>
      </c>
      <c r="G1" s="5" t="s">
        <v>685</v>
      </c>
    </row>
    <row r="2" customFormat="false" ht="35.05" hidden="false" customHeight="false" outlineLevel="0" collapsed="false">
      <c r="A2" s="4" t="n">
        <v>1</v>
      </c>
      <c r="B2" s="4" t="s">
        <v>14</v>
      </c>
      <c r="C2" s="4" t="s">
        <v>686</v>
      </c>
      <c r="D2" s="4" t="s">
        <v>687</v>
      </c>
      <c r="E2" s="4" t="s">
        <v>688</v>
      </c>
      <c r="F2" s="4" t="s">
        <v>689</v>
      </c>
      <c r="G2" s="4" t="s">
        <v>690</v>
      </c>
    </row>
    <row r="3" customFormat="false" ht="23.85" hidden="false" customHeight="false" outlineLevel="0" collapsed="false">
      <c r="A3" s="4" t="n">
        <v>2</v>
      </c>
      <c r="B3" s="4" t="s">
        <v>14</v>
      </c>
      <c r="C3" s="4" t="s">
        <v>691</v>
      </c>
      <c r="D3" s="4" t="s">
        <v>692</v>
      </c>
      <c r="E3" s="4" t="s">
        <v>693</v>
      </c>
      <c r="F3" s="4" t="s">
        <v>694</v>
      </c>
      <c r="G3" s="4" t="s">
        <v>695</v>
      </c>
    </row>
    <row r="4" customFormat="false" ht="35.05" hidden="false" customHeight="false" outlineLevel="0" collapsed="false">
      <c r="A4" s="4" t="n">
        <v>3</v>
      </c>
      <c r="B4" s="4" t="s">
        <v>14</v>
      </c>
      <c r="C4" s="4" t="s">
        <v>696</v>
      </c>
      <c r="D4" s="4" t="s">
        <v>697</v>
      </c>
      <c r="E4" s="4" t="s">
        <v>698</v>
      </c>
      <c r="F4" s="4" t="s">
        <v>699</v>
      </c>
      <c r="G4" s="4" t="s">
        <v>695</v>
      </c>
    </row>
    <row r="5" customFormat="false" ht="23.85" hidden="false" customHeight="false" outlineLevel="0" collapsed="false">
      <c r="A5" s="4" t="n">
        <v>4</v>
      </c>
      <c r="B5" s="4" t="s">
        <v>16</v>
      </c>
      <c r="C5" s="4" t="s">
        <v>443</v>
      </c>
      <c r="D5" s="4" t="s">
        <v>700</v>
      </c>
      <c r="E5" s="4" t="s">
        <v>701</v>
      </c>
      <c r="F5" s="4" t="s">
        <v>702</v>
      </c>
      <c r="G5" s="4" t="s">
        <v>703</v>
      </c>
    </row>
    <row r="6" customFormat="false" ht="23.85" hidden="false" customHeight="false" outlineLevel="0" collapsed="false">
      <c r="A6" s="4" t="n">
        <v>5</v>
      </c>
      <c r="B6" s="4" t="s">
        <v>16</v>
      </c>
      <c r="C6" s="4" t="s">
        <v>453</v>
      </c>
      <c r="D6" s="4" t="s">
        <v>704</v>
      </c>
      <c r="E6" s="4" t="s">
        <v>705</v>
      </c>
      <c r="F6" s="4" t="s">
        <v>706</v>
      </c>
      <c r="G6" s="4" t="s">
        <v>703</v>
      </c>
    </row>
    <row r="7" customFormat="false" ht="23.85" hidden="false" customHeight="false" outlineLevel="0" collapsed="false">
      <c r="A7" s="4" t="n">
        <v>6</v>
      </c>
      <c r="B7" s="4" t="s">
        <v>16</v>
      </c>
      <c r="C7" s="4" t="s">
        <v>707</v>
      </c>
      <c r="D7" s="4" t="s">
        <v>708</v>
      </c>
      <c r="E7" s="4" t="s">
        <v>709</v>
      </c>
      <c r="F7" s="4" t="s">
        <v>710</v>
      </c>
      <c r="G7" s="4" t="s">
        <v>695</v>
      </c>
    </row>
    <row r="8" customFormat="false" ht="15" hidden="false" customHeight="false" outlineLevel="0" collapsed="false">
      <c r="A8" s="4" t="n">
        <v>7</v>
      </c>
      <c r="B8" s="4" t="s">
        <v>16</v>
      </c>
      <c r="C8" s="4" t="s">
        <v>384</v>
      </c>
      <c r="D8" s="4" t="s">
        <v>711</v>
      </c>
      <c r="E8" s="4" t="s">
        <v>712</v>
      </c>
      <c r="F8" s="4" t="s">
        <v>713</v>
      </c>
      <c r="G8" s="4" t="s">
        <v>695</v>
      </c>
    </row>
    <row r="9" customFormat="false" ht="23.85" hidden="false" customHeight="false" outlineLevel="0" collapsed="false">
      <c r="A9" s="4" t="n">
        <v>8</v>
      </c>
      <c r="B9" s="4" t="s">
        <v>16</v>
      </c>
      <c r="C9" s="4" t="s">
        <v>714</v>
      </c>
      <c r="D9" s="4" t="s">
        <v>715</v>
      </c>
      <c r="E9" s="4" t="s">
        <v>716</v>
      </c>
      <c r="F9" s="4" t="s">
        <v>717</v>
      </c>
      <c r="G9" s="4" t="s">
        <v>690</v>
      </c>
    </row>
    <row r="10" customFormat="false" ht="23.85" hidden="false" customHeight="false" outlineLevel="0" collapsed="false">
      <c r="A10" s="4" t="n">
        <v>9</v>
      </c>
      <c r="B10" s="4" t="s">
        <v>16</v>
      </c>
      <c r="C10" s="4" t="s">
        <v>718</v>
      </c>
      <c r="D10" s="4" t="s">
        <v>719</v>
      </c>
      <c r="E10" s="4" t="s">
        <v>720</v>
      </c>
      <c r="F10" s="4" t="s">
        <v>721</v>
      </c>
      <c r="G10" s="4" t="s">
        <v>695</v>
      </c>
    </row>
    <row r="11" customFormat="false" ht="35.05" hidden="false" customHeight="false" outlineLevel="0" collapsed="false">
      <c r="A11" s="4" t="n">
        <v>10</v>
      </c>
      <c r="B11" s="4" t="s">
        <v>16</v>
      </c>
      <c r="C11" s="4" t="s">
        <v>722</v>
      </c>
      <c r="D11" s="4" t="s">
        <v>723</v>
      </c>
      <c r="E11" s="4" t="s">
        <v>724</v>
      </c>
      <c r="F11" s="4" t="s">
        <v>725</v>
      </c>
      <c r="G11" s="4" t="s">
        <v>726</v>
      </c>
    </row>
    <row r="12" customFormat="false" ht="35.05" hidden="false" customHeight="false" outlineLevel="0" collapsed="false">
      <c r="A12" s="4" t="n">
        <v>11</v>
      </c>
      <c r="B12" s="4" t="s">
        <v>20</v>
      </c>
      <c r="C12" s="4" t="s">
        <v>727</v>
      </c>
      <c r="D12" s="4" t="s">
        <v>728</v>
      </c>
      <c r="E12" s="4" t="s">
        <v>729</v>
      </c>
      <c r="F12" s="4" t="s">
        <v>725</v>
      </c>
      <c r="G12" s="4" t="s">
        <v>730</v>
      </c>
    </row>
    <row r="13" customFormat="false" ht="23.85" hidden="false" customHeight="false" outlineLevel="0" collapsed="false">
      <c r="A13" s="4" t="n">
        <v>12</v>
      </c>
      <c r="B13" s="4" t="s">
        <v>20</v>
      </c>
      <c r="C13" s="4" t="s">
        <v>731</v>
      </c>
      <c r="D13" s="4" t="s">
        <v>732</v>
      </c>
      <c r="E13" s="4" t="s">
        <v>733</v>
      </c>
      <c r="F13" s="4" t="s">
        <v>725</v>
      </c>
      <c r="G13" s="4" t="s">
        <v>730</v>
      </c>
    </row>
    <row r="15" customFormat="false" ht="23.85" hidden="false" customHeight="true" outlineLevel="0" collapsed="false">
      <c r="A15" s="3" t="s">
        <v>734</v>
      </c>
      <c r="B15" s="4" t="s">
        <v>735</v>
      </c>
      <c r="C15" s="4"/>
      <c r="D15" s="4"/>
      <c r="E15" s="4"/>
      <c r="F15" s="4"/>
      <c r="G15" s="4"/>
    </row>
  </sheetData>
  <autoFilter ref="A1:G13"/>
  <mergeCells count="1"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2026-10-14T12:33:43.3596312Z</dcterms:created>
  <dc:creator>Ian Pepper</dc:creator>
  <dc:description/>
  <dc:language>en-US</dc:language>
  <lastModifiedBy>Ian Pepper</lastModifiedBy>
  <dcterms:modified xsi:type="dcterms:W3CDTF">2026-10-14T12:33:43.3596312Z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